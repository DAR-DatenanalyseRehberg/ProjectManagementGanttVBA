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1.xml" ContentType="application/vnd.openxmlformats-officedocument.spreadsheetml.comment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esko\Downloads\"/>
    </mc:Choice>
  </mc:AlternateContent>
  <xr:revisionPtr revIDLastSave="0" documentId="13_ncr:1_{9446D7F6-EFB4-4CBD-9B94-C87BBA738C7E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Reporting" sheetId="1" r:id="rId1"/>
    <sheet name="Colleagues" sheetId="23" state="hidden" r:id="rId2"/>
  </sheets>
  <functionGroups builtInGroupCount="19"/>
  <definedNames>
    <definedName name="_xlnm._FilterDatabase" localSheetId="0" hidden="1">Reporting!$A$10:$X$36</definedName>
    <definedName name="alpha_round_robin">Reporting!$B$109</definedName>
    <definedName name="benutzer">GET.DOCUMENT(36)</definedName>
    <definedName name="checkmark_range">Reporting!$B$100:$B$106,Reporting!$P$100:$P$106,Reporting!$P$11:$P$9874,alpha_round_robin</definedName>
    <definedName name="rr_0">{1,""}</definedName>
    <definedName name="rr_1">{1,0,""}</definedName>
    <definedName name="rr_2">{0,1,2,3,4}</definedName>
    <definedName name="rr_3">TRANSPOSE(CHAR(ROW(Reporting!$83:$108)))</definedName>
    <definedName name="überschrift">#REF!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R33" i="1" l="1"/>
  <c r="Q33" i="1"/>
  <c r="D33" i="1" a="1"/>
  <c r="D33" i="1" s="1"/>
  <c r="D15" i="1" a="1"/>
  <c r="D15" i="1" s="1"/>
  <c r="D18" i="1" a="1"/>
  <c r="D18" i="1" s="1"/>
  <c r="S23" i="1"/>
  <c r="V23" i="1" s="1"/>
  <c r="W23" i="1" s="1"/>
  <c r="U23" i="1"/>
  <c r="X23" i="1"/>
  <c r="S22" i="1"/>
  <c r="V22" i="1" s="1"/>
  <c r="W22" i="1" s="1"/>
  <c r="U22" i="1"/>
  <c r="X22" i="1"/>
  <c r="S21" i="1"/>
  <c r="U21" i="1"/>
  <c r="X21" i="1"/>
  <c r="R31" i="1"/>
  <c r="Q31" i="1"/>
  <c r="U4" i="1"/>
  <c r="X4" i="1" s="1"/>
  <c r="R15" i="1"/>
  <c r="Q15" i="1"/>
  <c r="A34" i="1"/>
  <c r="A32" i="1"/>
  <c r="V21" i="1" l="1"/>
  <c r="W21" i="1" s="1"/>
  <c r="S32" i="1"/>
  <c r="U32" i="1"/>
  <c r="X32" i="1"/>
  <c r="V32" i="1" l="1"/>
  <c r="W32" i="1" s="1"/>
  <c r="T31" i="1"/>
  <c r="S33" i="1"/>
  <c r="U33" i="1"/>
  <c r="S34" i="1"/>
  <c r="U34" i="1"/>
  <c r="X34" i="1"/>
  <c r="V34" i="1" l="1"/>
  <c r="W34" i="1" s="1"/>
  <c r="T33" i="1"/>
  <c r="X33" i="1" s="1"/>
  <c r="V33" i="1" l="1"/>
  <c r="W33" i="1" s="1"/>
  <c r="V24" i="1"/>
  <c r="U24" i="1"/>
  <c r="X24" i="1"/>
  <c r="S19" i="1"/>
  <c r="U19" i="1"/>
  <c r="X19" i="1"/>
  <c r="W24" i="1" l="1"/>
  <c r="V19" i="1"/>
  <c r="W19" i="1" s="1"/>
  <c r="R35" i="1"/>
  <c r="Q35" i="1"/>
  <c r="R18" i="1"/>
  <c r="R25" i="1"/>
  <c r="R28" i="1"/>
  <c r="Q28" i="1"/>
  <c r="Q25" i="1"/>
  <c r="Q18" i="1"/>
  <c r="S30" i="1" l="1"/>
  <c r="V30" i="1" s="1"/>
  <c r="U30" i="1"/>
  <c r="X30" i="1"/>
  <c r="W30" i="1" l="1"/>
  <c r="S24" i="1"/>
  <c r="S20" i="1"/>
  <c r="V20" i="1" s="1"/>
  <c r="U20" i="1"/>
  <c r="X20" i="1"/>
  <c r="D25" i="1" a="1"/>
  <c r="D25" i="1" s="1"/>
  <c r="U35" i="1"/>
  <c r="S35" i="1"/>
  <c r="D35" i="1" a="1"/>
  <c r="D35" i="1" s="1"/>
  <c r="U31" i="1"/>
  <c r="S31" i="1"/>
  <c r="D31" i="1" a="1"/>
  <c r="D31" i="1" s="1"/>
  <c r="U28" i="1"/>
  <c r="S28" i="1"/>
  <c r="D28" i="1" a="1"/>
  <c r="D28" i="1" s="1"/>
  <c r="U25" i="1"/>
  <c r="S25" i="1"/>
  <c r="W20" i="1" l="1"/>
  <c r="S36" i="1" l="1"/>
  <c r="T35" i="1" s="1"/>
  <c r="U36" i="1"/>
  <c r="X36" i="1"/>
  <c r="V36" i="1" l="1"/>
  <c r="W36" i="1" s="1"/>
  <c r="S18" i="1" l="1"/>
  <c r="S29" i="1" l="1"/>
  <c r="T28" i="1" s="1"/>
  <c r="U29" i="1"/>
  <c r="X29" i="1"/>
  <c r="V29" i="1" l="1"/>
  <c r="W29" i="1" s="1"/>
  <c r="Q1" i="1"/>
  <c r="R11" i="1" l="1"/>
  <c r="Q11" i="1"/>
  <c r="D7" i="1" s="1"/>
  <c r="Z7" i="1" s="1"/>
  <c r="S14" i="1" l="1"/>
  <c r="V14" i="1" s="1"/>
  <c r="U14" i="1"/>
  <c r="X14" i="1"/>
  <c r="S13" i="1"/>
  <c r="U13" i="1"/>
  <c r="X13" i="1"/>
  <c r="V13" i="1" l="1"/>
  <c r="W13" i="1" s="1"/>
  <c r="W14" i="1"/>
  <c r="S26" i="1"/>
  <c r="U26" i="1"/>
  <c r="X26" i="1"/>
  <c r="S27" i="1"/>
  <c r="U27" i="1"/>
  <c r="X27" i="1"/>
  <c r="A19" i="1"/>
  <c r="T18" i="1" l="1"/>
  <c r="V26" i="1"/>
  <c r="W26" i="1" s="1"/>
  <c r="T25" i="1"/>
  <c r="A26" i="1"/>
  <c r="A27" i="1" s="1"/>
  <c r="A29" i="1" s="1"/>
  <c r="A20" i="1"/>
  <c r="A21" i="1" s="1"/>
  <c r="A22" i="1" s="1"/>
  <c r="A23" i="1" s="1"/>
  <c r="V27" i="1"/>
  <c r="W27" i="1" s="1"/>
  <c r="A24" i="1" l="1"/>
  <c r="A30" i="1"/>
  <c r="A36" i="1"/>
  <c r="U18" i="1"/>
  <c r="S12" i="1"/>
  <c r="T11" i="1" s="1"/>
  <c r="S17" i="1"/>
  <c r="S16" i="1"/>
  <c r="T15" i="1" l="1"/>
  <c r="D11" i="1" a="1"/>
  <c r="D11" i="1" s="1"/>
  <c r="S15" i="1" l="1"/>
  <c r="S11" i="1"/>
  <c r="X35" i="1" l="1"/>
  <c r="V35" i="1"/>
  <c r="W35" i="1" s="1"/>
  <c r="V17" i="1"/>
  <c r="W17" i="1" s="1"/>
  <c r="U17" i="1"/>
  <c r="X17" i="1"/>
  <c r="V16" i="1"/>
  <c r="U16" i="1"/>
  <c r="X16" i="1"/>
  <c r="V15" i="1"/>
  <c r="U15" i="1"/>
  <c r="X15" i="1"/>
  <c r="X31" i="1" l="1"/>
  <c r="V31" i="1"/>
  <c r="W31" i="1" s="1"/>
  <c r="W16" i="1"/>
  <c r="W15" i="1"/>
  <c r="V28" i="1" l="1"/>
  <c r="W28" i="1" s="1"/>
  <c r="X28" i="1"/>
  <c r="A12" i="1"/>
  <c r="A13" i="1" s="1"/>
  <c r="A14" i="1" s="1"/>
  <c r="V25" i="1" l="1"/>
  <c r="W25" i="1" s="1"/>
  <c r="X25" i="1"/>
  <c r="X18" i="1" l="1"/>
  <c r="V18" i="1"/>
  <c r="W18" i="1" s="1"/>
  <c r="Z8" i="1"/>
  <c r="Z9" i="1"/>
  <c r="A16" i="1" l="1"/>
  <c r="A17" i="1" s="1"/>
  <c r="X12" i="1" l="1"/>
  <c r="U12" i="1"/>
  <c r="JD11" i="1"/>
  <c r="X11" i="1"/>
  <c r="U11" i="1"/>
  <c r="V11" i="1"/>
  <c r="U3" i="1"/>
  <c r="T3" i="1"/>
  <c r="AA7" i="1" l="1"/>
  <c r="AA8" i="1"/>
  <c r="AB8" i="1" s="1"/>
  <c r="AC8" i="1" s="1"/>
  <c r="AD8" i="1" s="1"/>
  <c r="AE8" i="1" s="1"/>
  <c r="AF8" i="1" s="1"/>
  <c r="AG8" i="1" s="1"/>
  <c r="AH8" i="1" s="1"/>
  <c r="AI8" i="1" s="1"/>
  <c r="AJ8" i="1" s="1"/>
  <c r="AK8" i="1" s="1"/>
  <c r="AL8" i="1" s="1"/>
  <c r="AM8" i="1" s="1"/>
  <c r="AN8" i="1" s="1"/>
  <c r="W11" i="1"/>
  <c r="V12" i="1"/>
  <c r="W12" i="1" s="1"/>
  <c r="AG9" i="1" l="1"/>
  <c r="AN9" i="1"/>
  <c r="AO8" i="1" l="1"/>
  <c r="AP8" i="1" s="1"/>
  <c r="AQ8" i="1" s="1"/>
  <c r="AR8" i="1" s="1"/>
  <c r="AS8" i="1" s="1"/>
  <c r="AT8" i="1" s="1"/>
  <c r="AU8" i="1" s="1"/>
  <c r="AU9" i="1" s="1"/>
  <c r="AV8" i="1" l="1"/>
  <c r="AW8" i="1" s="1"/>
  <c r="AX8" i="1" s="1"/>
  <c r="AY8" i="1" s="1"/>
  <c r="AZ8" i="1" s="1"/>
  <c r="BA8" i="1" s="1"/>
  <c r="BB8" i="1" s="1"/>
  <c r="BB9" i="1" s="1"/>
  <c r="BC8" i="1" l="1"/>
  <c r="BD8" i="1" s="1"/>
  <c r="BE8" i="1" s="1"/>
  <c r="BF8" i="1" s="1"/>
  <c r="BG8" i="1" s="1"/>
  <c r="BH8" i="1" s="1"/>
  <c r="BI8" i="1" s="1"/>
  <c r="BJ8" i="1" s="1"/>
  <c r="BK8" i="1" s="1"/>
  <c r="BL8" i="1" s="1"/>
  <c r="BM8" i="1" s="1"/>
  <c r="BN8" i="1" s="1"/>
  <c r="BO8" i="1" s="1"/>
  <c r="BP8" i="1" s="1"/>
  <c r="BI9" i="1" l="1"/>
  <c r="BP9" i="1"/>
  <c r="BQ8" i="1"/>
  <c r="BR8" i="1" s="1"/>
  <c r="BS8" i="1" s="1"/>
  <c r="BT8" i="1" s="1"/>
  <c r="BU8" i="1" s="1"/>
  <c r="BV8" i="1" s="1"/>
  <c r="BW8" i="1" s="1"/>
  <c r="BX8" i="1" l="1"/>
  <c r="BY8" i="1" s="1"/>
  <c r="BZ8" i="1" s="1"/>
  <c r="CA8" i="1" s="1"/>
  <c r="CB8" i="1" s="1"/>
  <c r="CC8" i="1" s="1"/>
  <c r="CD8" i="1" s="1"/>
  <c r="BW9" i="1"/>
  <c r="CD9" i="1" l="1"/>
  <c r="CE8" i="1"/>
  <c r="CF8" i="1" s="1"/>
  <c r="CG8" i="1" s="1"/>
  <c r="CH8" i="1" s="1"/>
  <c r="CI8" i="1" s="1"/>
  <c r="CJ8" i="1" s="1"/>
  <c r="CK8" i="1" s="1"/>
  <c r="CL8" i="1" l="1"/>
  <c r="CM8" i="1" s="1"/>
  <c r="CN8" i="1" s="1"/>
  <c r="CO8" i="1" s="1"/>
  <c r="CP8" i="1" s="1"/>
  <c r="CQ8" i="1" s="1"/>
  <c r="CR8" i="1" s="1"/>
  <c r="CK9" i="1"/>
  <c r="CR9" i="1" l="1"/>
  <c r="CS8" i="1"/>
  <c r="CT8" i="1" s="1"/>
  <c r="CU8" i="1" s="1"/>
  <c r="CV8" i="1" s="1"/>
  <c r="CW8" i="1" s="1"/>
  <c r="CX8" i="1" s="1"/>
  <c r="CY8" i="1" s="1"/>
  <c r="CY9" i="1" l="1"/>
  <c r="CZ8" i="1"/>
  <c r="DA8" i="1" s="1"/>
  <c r="DB8" i="1" s="1"/>
  <c r="DC8" i="1" s="1"/>
  <c r="DD8" i="1" s="1"/>
  <c r="DE8" i="1" s="1"/>
  <c r="DF8" i="1" s="1"/>
  <c r="DF9" i="1" l="1"/>
  <c r="DG8" i="1"/>
  <c r="DH8" i="1" s="1"/>
  <c r="DI8" i="1" s="1"/>
  <c r="DJ8" i="1" s="1"/>
  <c r="DK8" i="1" s="1"/>
  <c r="DL8" i="1" s="1"/>
  <c r="DM8" i="1" s="1"/>
  <c r="DN8" i="1" l="1"/>
  <c r="DO8" i="1" s="1"/>
  <c r="DP8" i="1" s="1"/>
  <c r="DQ8" i="1" s="1"/>
  <c r="DR8" i="1" s="1"/>
  <c r="DS8" i="1" s="1"/>
  <c r="DT8" i="1" s="1"/>
  <c r="DM9" i="1"/>
  <c r="DT9" i="1" l="1"/>
  <c r="DU8" i="1"/>
  <c r="DV8" i="1" s="1"/>
  <c r="DW8" i="1" s="1"/>
  <c r="DX8" i="1" s="1"/>
  <c r="DY8" i="1" s="1"/>
  <c r="DZ8" i="1" s="1"/>
  <c r="EA8" i="1" s="1"/>
  <c r="EB8" i="1" l="1"/>
  <c r="EC8" i="1" s="1"/>
  <c r="ED8" i="1" s="1"/>
  <c r="EE8" i="1" s="1"/>
  <c r="EF8" i="1" s="1"/>
  <c r="EG8" i="1" s="1"/>
  <c r="EH8" i="1" s="1"/>
  <c r="EA9" i="1"/>
  <c r="EH9" i="1" l="1"/>
  <c r="EI8" i="1"/>
  <c r="EJ8" i="1" s="1"/>
  <c r="EK8" i="1" s="1"/>
  <c r="EL8" i="1" s="1"/>
  <c r="EM8" i="1" s="1"/>
  <c r="EN8" i="1" s="1"/>
  <c r="EO8" i="1" s="1"/>
  <c r="EP8" i="1" l="1"/>
  <c r="EQ8" i="1" s="1"/>
  <c r="ER8" i="1" s="1"/>
  <c r="ES8" i="1" s="1"/>
  <c r="ET8" i="1" s="1"/>
  <c r="EU8" i="1" s="1"/>
  <c r="EV8" i="1" s="1"/>
  <c r="EO9" i="1"/>
  <c r="EV9" i="1" l="1"/>
  <c r="EW8" i="1"/>
  <c r="EX8" i="1" s="1"/>
  <c r="EY8" i="1" s="1"/>
  <c r="EZ8" i="1" s="1"/>
  <c r="FA8" i="1" s="1"/>
  <c r="FB8" i="1" s="1"/>
  <c r="FC8" i="1" s="1"/>
  <c r="FC9" i="1" l="1"/>
  <c r="FD8" i="1"/>
  <c r="FE8" i="1" s="1"/>
  <c r="FF8" i="1" s="1"/>
  <c r="FG8" i="1" s="1"/>
  <c r="FH8" i="1" s="1"/>
  <c r="FI8" i="1" s="1"/>
  <c r="FJ8" i="1" s="1"/>
  <c r="FK8" i="1" l="1"/>
  <c r="FL8" i="1" s="1"/>
  <c r="FM8" i="1" s="1"/>
  <c r="FN8" i="1" s="1"/>
  <c r="FO8" i="1" s="1"/>
  <c r="FP8" i="1" s="1"/>
  <c r="FQ8" i="1" s="1"/>
  <c r="FJ9" i="1"/>
  <c r="FR8" i="1" l="1"/>
  <c r="FS8" i="1" s="1"/>
  <c r="FT8" i="1" s="1"/>
  <c r="FU8" i="1" s="1"/>
  <c r="FV8" i="1" s="1"/>
  <c r="FW8" i="1" s="1"/>
  <c r="FX8" i="1" s="1"/>
  <c r="FQ9" i="1"/>
  <c r="FX9" i="1" l="1"/>
  <c r="FY8" i="1"/>
  <c r="FZ8" i="1" s="1"/>
  <c r="GA8" i="1" s="1"/>
  <c r="GB8" i="1" s="1"/>
  <c r="GC8" i="1" s="1"/>
  <c r="GD8" i="1" s="1"/>
  <c r="GE8" i="1" s="1"/>
  <c r="GE9" i="1" l="1"/>
  <c r="GF8" i="1"/>
  <c r="GG8" i="1" s="1"/>
  <c r="GH8" i="1" s="1"/>
  <c r="GI8" i="1" s="1"/>
  <c r="GJ8" i="1" s="1"/>
  <c r="GK8" i="1" s="1"/>
  <c r="GL8" i="1" s="1"/>
  <c r="GM8" i="1" l="1"/>
  <c r="GN8" i="1" s="1"/>
  <c r="GO8" i="1" s="1"/>
  <c r="GP8" i="1" s="1"/>
  <c r="GQ8" i="1" s="1"/>
  <c r="GR8" i="1" s="1"/>
  <c r="GS8" i="1" s="1"/>
  <c r="GL9" i="1"/>
  <c r="GT8" i="1" l="1"/>
  <c r="GU8" i="1" s="1"/>
  <c r="GV8" i="1" s="1"/>
  <c r="GW8" i="1" s="1"/>
  <c r="GX8" i="1" s="1"/>
  <c r="GY8" i="1" s="1"/>
  <c r="GZ8" i="1" s="1"/>
  <c r="GS9" i="1"/>
  <c r="GZ9" i="1" l="1"/>
  <c r="HA8" i="1"/>
  <c r="HB8" i="1" s="1"/>
  <c r="HC8" i="1" s="1"/>
  <c r="HD8" i="1" s="1"/>
  <c r="HE8" i="1" s="1"/>
  <c r="HF8" i="1" s="1"/>
  <c r="HG8" i="1" s="1"/>
  <c r="HG9" i="1" l="1"/>
  <c r="HH8" i="1"/>
  <c r="HI8" i="1" s="1"/>
  <c r="HJ8" i="1" s="1"/>
  <c r="HK8" i="1" s="1"/>
  <c r="HL8" i="1" s="1"/>
  <c r="HM8" i="1" s="1"/>
  <c r="HN8" i="1" s="1"/>
  <c r="HN9" i="1" l="1"/>
  <c r="HO8" i="1"/>
  <c r="HP8" i="1" s="1"/>
  <c r="HQ8" i="1" s="1"/>
  <c r="HR8" i="1" s="1"/>
  <c r="HS8" i="1" s="1"/>
  <c r="HT8" i="1" s="1"/>
  <c r="HU8" i="1" s="1"/>
  <c r="HV8" i="1" l="1"/>
  <c r="HW8" i="1" s="1"/>
  <c r="HX8" i="1" s="1"/>
  <c r="HY8" i="1" s="1"/>
  <c r="HZ8" i="1" s="1"/>
  <c r="IA8" i="1" s="1"/>
  <c r="IB8" i="1" s="1"/>
  <c r="HU9" i="1"/>
  <c r="IB9" i="1" l="1"/>
  <c r="IC8" i="1"/>
  <c r="ID8" i="1" s="1"/>
  <c r="IE8" i="1" s="1"/>
  <c r="IF8" i="1" s="1"/>
  <c r="IG8" i="1" s="1"/>
  <c r="IH8" i="1" s="1"/>
  <c r="II8" i="1" s="1"/>
  <c r="IJ8" i="1" l="1"/>
  <c r="IK8" i="1" s="1"/>
  <c r="IL8" i="1" s="1"/>
  <c r="IM8" i="1" s="1"/>
  <c r="IN8" i="1" s="1"/>
  <c r="IO8" i="1" s="1"/>
  <c r="IP8" i="1" s="1"/>
  <c r="II9" i="1"/>
  <c r="IP9" i="1" l="1"/>
  <c r="IQ8" i="1"/>
  <c r="IR8" i="1" s="1"/>
  <c r="IS8" i="1" s="1"/>
  <c r="IT8" i="1" s="1"/>
  <c r="IU8" i="1" s="1"/>
  <c r="IV8" i="1" s="1"/>
  <c r="IW8" i="1" s="1"/>
  <c r="IX8" i="1" l="1"/>
  <c r="IY8" i="1" s="1"/>
  <c r="IZ8" i="1" s="1"/>
  <c r="JA8" i="1" s="1"/>
  <c r="JB8" i="1" s="1"/>
  <c r="JC8" i="1" s="1"/>
  <c r="IW9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Jesko Rehberg</author>
  </authors>
  <commentList>
    <comment ref="U4" authorId="0" shapeId="0" xr:uid="{00000000-0006-0000-0000-000001000000}">
      <text>
        <r>
          <rPr>
            <sz val="12"/>
            <color indexed="81"/>
            <rFont val="Courier"/>
            <family val="3"/>
          </rPr>
          <t>Jesko Rehberg
19.05.2017
Heute Funktion wäre volatil, daher per VBA!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sourceFile="G:\SIAMM-76100\SIAMM-76100\INFOBRETT SIAM MVS\INFO Brett SIAM MVS\Urlaubsplan 2016.xlsx" keepAlive="1" name="Urlaubsplan 2016" type="5" refreshedVersion="0" new="1" background="1">
    <dbPr connection="Provider=Microsoft.ACE.OLEDB.12.0;Password=&quot;&quot;;User ID=Admin;Data Source=G:\SIAMM-76100\SIAMM-76100\INFOBRETT SIAM MVS\INFO Brett SIAM MVS\Urlaubsplan 2016.xlsx;Mode=Share Deny Write;Extended Properties=&quot;HDR=YES;&quot;;Jet OLEDB:System database=&quot;&quot;;Jet OLEDB:Registry Path=&quot;&quot;;Jet OLEDB:Database Password=&quot;&quot;;Jet OLEDB:Engine Type=35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April$" commandType="3"/>
  </connection>
  <connection id="2" xr16:uid="{00000000-0015-0000-FFFF-FFFF01000000}" sourceFile="G:\SIAMM-76100\SIAMM-76100\INFOBRETT SIAM MVS\INFO Brett SIAM MVS\Urlaubsplan 2016.xlsx" odcFile="\\system.local\dfs\SIAMUsr\U135340\HOME\Eigene Dateien\Meine Datenquellen\Urlaubsplan 2016 April$.odc" keepAlive="1" name="Urlaubsplan 2016 April$" type="5" refreshedVersion="0" new="1" background="1" saveData="1">
    <dbPr connection="Provider=Microsoft.ACE.OLEDB.12.0;Password=&quot;&quot;;User ID=Admin;Data Source=G:\SIAMM-76100\SIAMM-76100\INFOBRETT SIAM MVS\INFO Brett SIAM MVS\Urlaubsplan 2016.xlsx;Mode=Share Deny Write;Extended Properties=&quot;HDR=YES;&quot;;Jet OLEDB:System database=&quot;&quot;;Jet OLEDB:Registry Path=&quot;&quot;;Jet OLEDB:Database Password=&quot;&quot;;Jet OLEDB:Engine Type=35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April$" commandType="3"/>
  </connection>
  <connection id="3" xr16:uid="{00000000-0015-0000-FFFF-FFFF02000000}" sourceFile="G:\SIAMM-76100\SIAMM-76100\INFOBRETT SIAM MVS\INFO Brett SIAM MVS\Urlaubsplan 2016.xlsx" odcFile="\\system.local\dfs\SIAMUsr\U135340\HOME\Eigene Dateien\Meine Datenquellen\Urlaubsplan 2016 April$.odc" keepAlive="1" name="Urlaubsplan 2016 April$1" type="5" refreshedVersion="0" new="1" background="1">
    <dbPr connection="Provider=Microsoft.ACE.OLEDB.12.0;Password=&quot;&quot;;User ID=Admin;Data Source=G:\SIAMM-76100\SIAMM-76100\INFOBRETT SIAM MVS\INFO Brett SIAM MVS\Urlaubsplan 2016.xlsx;Mode=Share Deny Write;Extended Properties=&quot;HDR=YES;&quot;;Jet OLEDB:System database=&quot;&quot;;Jet OLEDB:Registry Path=&quot;&quot;;Jet OLEDB:Database Password=&quot;&quot;;Jet OLEDB:Engine Type=35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April$" commandType="3"/>
  </connection>
</connections>
</file>

<file path=xl/sharedStrings.xml><?xml version="1.0" encoding="utf-8"?>
<sst xmlns="http://schemas.openxmlformats.org/spreadsheetml/2006/main" count="177" uniqueCount="104">
  <si>
    <t>Task</t>
  </si>
  <si>
    <t>Done</t>
  </si>
  <si>
    <t>Your Bucket List</t>
  </si>
  <si>
    <t>Triple-State Checkmark Style</t>
  </si>
  <si>
    <t>Basic Checkmark Style</t>
  </si>
  <si>
    <t>Progress Meter Style</t>
  </si>
  <si>
    <t>&lt;-- Alpha Round-Robin Demo</t>
  </si>
  <si>
    <t>A</t>
  </si>
  <si>
    <t>Details</t>
  </si>
  <si>
    <t>Start</t>
  </si>
  <si>
    <t>Prio</t>
  </si>
  <si>
    <t>Arbeitstage</t>
  </si>
  <si>
    <t>Erfüllte Tage</t>
  </si>
  <si>
    <t>Übrige Tage</t>
  </si>
  <si>
    <t>Nr</t>
  </si>
  <si>
    <t>(vertikale blaue Linie)</t>
  </si>
  <si>
    <t>178</t>
  </si>
  <si>
    <t>140</t>
  </si>
  <si>
    <t>110</t>
  </si>
  <si>
    <t>VA</t>
  </si>
  <si>
    <t>%</t>
  </si>
  <si>
    <t>Filter</t>
  </si>
  <si>
    <t>Kategorien</t>
  </si>
  <si>
    <t>ID</t>
  </si>
  <si>
    <t>Phase</t>
  </si>
  <si>
    <t>Phase 3</t>
  </si>
  <si>
    <t>Spalte1</t>
  </si>
  <si>
    <t>Current status:</t>
  </si>
  <si>
    <t>End</t>
  </si>
  <si>
    <t>modificate</t>
  </si>
  <si>
    <t>new</t>
  </si>
  <si>
    <t>how to</t>
  </si>
  <si>
    <t>next step</t>
  </si>
  <si>
    <t>until</t>
  </si>
  <si>
    <t>Phase 1</t>
  </si>
  <si>
    <t>Recipient</t>
  </si>
  <si>
    <t>Comments</t>
  </si>
  <si>
    <t>Tool</t>
  </si>
  <si>
    <t>Responsible</t>
  </si>
  <si>
    <t>Decision for next JF</t>
  </si>
  <si>
    <t>Jesko</t>
  </si>
  <si>
    <t>Ticketnr</t>
  </si>
  <si>
    <t>Your business
- Team Gantt</t>
  </si>
  <si>
    <t>Your team</t>
  </si>
  <si>
    <t>Milestone 1</t>
  </si>
  <si>
    <t>Milestone 2</t>
  </si>
  <si>
    <t>Milestone 3</t>
  </si>
  <si>
    <t>Milestone 4</t>
  </si>
  <si>
    <t>Milestone 5</t>
  </si>
  <si>
    <t>Milestone 6</t>
  </si>
  <si>
    <t>Milestone 7</t>
  </si>
  <si>
    <t>Milestone 8</t>
  </si>
  <si>
    <t>Sub-task 1</t>
  </si>
  <si>
    <t>Sub-task 2</t>
  </si>
  <si>
    <t>Sub-task 3</t>
  </si>
  <si>
    <t>Sub-task 4</t>
  </si>
  <si>
    <t>Sub-task 5</t>
  </si>
  <si>
    <t>Sub-task 6</t>
  </si>
  <si>
    <t>Details belonging to Sub-taks 1</t>
  </si>
  <si>
    <t>Details belonging to Sub-taks 2</t>
  </si>
  <si>
    <t>Details belonging to Sub-taks 3</t>
  </si>
  <si>
    <t>Details belonging to Sub-taks 4</t>
  </si>
  <si>
    <t>Details belonging to Sub-taks 5</t>
  </si>
  <si>
    <t>Details belonging to Sub-taks 6</t>
  </si>
  <si>
    <t>Ticket 2</t>
  </si>
  <si>
    <t>Ticket 3</t>
  </si>
  <si>
    <t>Ticket 4</t>
  </si>
  <si>
    <t>Ticket 5</t>
  </si>
  <si>
    <t>Ticket 6</t>
  </si>
  <si>
    <t>Ticket 7</t>
  </si>
  <si>
    <t>Ticket 8</t>
  </si>
  <si>
    <t>Ticket 9</t>
  </si>
  <si>
    <t>Ticket 10</t>
  </si>
  <si>
    <t>Ticket 11</t>
  </si>
  <si>
    <t>Ticket 12</t>
  </si>
  <si>
    <t>Ticket 13</t>
  </si>
  <si>
    <t>Ticket 14</t>
  </si>
  <si>
    <t>Ticket 15</t>
  </si>
  <si>
    <t>Ticket 16</t>
  </si>
  <si>
    <t>Ticket 17</t>
  </si>
  <si>
    <t>Ticket 18</t>
  </si>
  <si>
    <t>Comment 1</t>
  </si>
  <si>
    <t>Comment 6</t>
  </si>
  <si>
    <t>Comment 2</t>
  </si>
  <si>
    <t>Comment 3</t>
  </si>
  <si>
    <t>Comment 4</t>
  </si>
  <si>
    <t>Comment 5</t>
  </si>
  <si>
    <t>Jim</t>
  </si>
  <si>
    <t>John</t>
  </si>
  <si>
    <t>Kim</t>
  </si>
  <si>
    <t>Kate</t>
  </si>
  <si>
    <t>George</t>
  </si>
  <si>
    <t>Daniel</t>
  </si>
  <si>
    <t>Effort estimation</t>
  </si>
  <si>
    <t>Department</t>
  </si>
  <si>
    <t>Duration days</t>
  </si>
  <si>
    <t>Category</t>
  </si>
  <si>
    <t>Project Category A</t>
  </si>
  <si>
    <t>Project Category B</t>
  </si>
  <si>
    <t>Project Category C</t>
  </si>
  <si>
    <t>Project Category G</t>
  </si>
  <si>
    <t>Project Category F</t>
  </si>
  <si>
    <t>Project Category E</t>
  </si>
  <si>
    <t>Project Category 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</si>
</sst>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dd\.mm\.yy"/>
    <numFmt numFmtId="165" formatCode="d/m;@"/>
    <numFmt numFmtId="166" formatCode="dd/mm/yy;@"/>
  </numFmts>
  <fonts count="36" x14ac:knownFonts="1">
    <font>
      <sz val="11"/>
      <color theme="1"/>
      <name val="Calibri"/>
      <family val="2"/>
      <scheme val="minor"/>
    </font>
    <font>
      <u/>
      <sz val="11"/>
      <color theme="4"/>
      <name val="Calibri"/>
      <family val="2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indexed="56"/>
      <name val="Trebuchet MS"/>
      <family val="2"/>
    </font>
    <font>
      <sz val="8"/>
      <color theme="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6"/>
      <color indexed="9"/>
      <name val="Arial"/>
      <family val="2"/>
    </font>
    <font>
      <i/>
      <sz val="8"/>
      <color theme="0"/>
      <name val="Arial"/>
      <family val="2"/>
    </font>
    <font>
      <b/>
      <sz val="11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sz val="9"/>
      <color theme="1"/>
      <name val="Calibri"/>
      <family val="2"/>
      <scheme val="minor"/>
    </font>
    <font>
      <sz val="8"/>
      <name val="Arial Narrow"/>
      <family val="2"/>
    </font>
    <font>
      <sz val="12"/>
      <color indexed="81"/>
      <name val="Courier"/>
      <family val="3"/>
    </font>
    <font>
      <sz val="10"/>
      <color theme="0"/>
      <name val="Arial"/>
      <family val="2"/>
    </font>
    <font>
      <sz val="9"/>
      <color theme="1"/>
      <name val="Arial"/>
      <family val="2"/>
    </font>
    <font>
      <sz val="8"/>
      <name val="Arial"/>
      <family val="2"/>
    </font>
    <font>
      <sz val="11"/>
      <name val="Calibri"/>
      <family val="2"/>
      <scheme val="minor"/>
    </font>
    <font>
      <i/>
      <sz val="11"/>
      <name val="Arial"/>
      <family val="2"/>
    </font>
    <font>
      <sz val="11"/>
      <color rgb="FF808080"/>
      <name val="Calibri"/>
      <family val="2"/>
      <scheme val="minor"/>
    </font>
    <font>
      <b/>
      <sz val="8"/>
      <name val="Arial"/>
      <family val="2"/>
    </font>
    <font>
      <sz val="8"/>
      <color theme="1"/>
      <name val="Arial"/>
      <family val="2"/>
    </font>
    <font>
      <b/>
      <sz val="11"/>
      <color theme="4" tint="0.79998168889431442"/>
      <name val="Arial"/>
      <family val="2"/>
    </font>
    <font>
      <b/>
      <sz val="10"/>
      <color indexed="56"/>
      <name val="Trebuchet MS"/>
      <family val="2"/>
    </font>
    <font>
      <sz val="5"/>
      <name val="Arial"/>
      <family val="2"/>
    </font>
    <font>
      <b/>
      <sz val="10"/>
      <color theme="4" tint="0.79998168889431442"/>
      <name val="Trebuchet MS"/>
      <family val="2"/>
    </font>
    <font>
      <sz val="11"/>
      <color rgb="FF808080"/>
      <name val="Arial"/>
      <family val="2"/>
    </font>
    <font>
      <sz val="8"/>
      <name val="Arial"/>
      <family val="2"/>
    </font>
    <font>
      <sz val="10"/>
      <name val="Arial"/>
      <family val="2"/>
    </font>
    <font>
      <sz val="8"/>
      <color theme="1"/>
      <name val="Arial"/>
      <family val="2"/>
    </font>
    <font>
      <sz val="10"/>
      <color rgb="FF808080"/>
      <name val="Calibri"/>
      <family val="2"/>
      <scheme val="minor"/>
    </font>
    <font>
      <sz val="9"/>
      <color theme="0"/>
      <name val="Arial"/>
      <family val="2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55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22"/>
      </bottom>
      <diagonal/>
    </border>
    <border>
      <left/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9" fontId="3" fillId="0" borderId="0" applyFont="0" applyFill="0" applyBorder="0" applyAlignment="0" applyProtection="0"/>
    <xf numFmtId="0" fontId="7" fillId="0" borderId="0"/>
  </cellStyleXfs>
  <cellXfs count="159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2" fillId="0" borderId="0" xfId="0" applyFont="1"/>
    <xf numFmtId="0" fontId="0" fillId="0" borderId="0" xfId="0" applyAlignment="1">
      <alignment horizontal="left" indent="1"/>
    </xf>
    <xf numFmtId="0" fontId="0" fillId="0" borderId="1" xfId="0" applyBorder="1" applyAlignment="1">
      <alignment horizontal="center"/>
    </xf>
    <xf numFmtId="0" fontId="1" fillId="0" borderId="0" xfId="1" applyBorder="1" applyAlignment="1" applyProtection="1">
      <alignment horizontal="left" indent="1"/>
    </xf>
    <xf numFmtId="0" fontId="6" fillId="3" borderId="0" xfId="0" applyFont="1" applyFill="1" applyAlignment="1" applyProtection="1">
      <alignment horizontal="right"/>
      <protection locked="0"/>
    </xf>
    <xf numFmtId="0" fontId="0" fillId="0" borderId="0" xfId="0" applyAlignment="1">
      <alignment horizontal="right"/>
    </xf>
    <xf numFmtId="0" fontId="8" fillId="0" borderId="0" xfId="0" applyFont="1"/>
    <xf numFmtId="14" fontId="8" fillId="0" borderId="0" xfId="0" applyNumberFormat="1" applyFont="1" applyAlignment="1">
      <alignment horizontal="left"/>
    </xf>
    <xf numFmtId="14" fontId="8" fillId="0" borderId="0" xfId="0" applyNumberFormat="1" applyFont="1"/>
    <xf numFmtId="0" fontId="6" fillId="3" borderId="0" xfId="0" applyFont="1" applyFill="1" applyAlignment="1" applyProtection="1">
      <alignment horizontal="center"/>
      <protection locked="0"/>
    </xf>
    <xf numFmtId="0" fontId="0" fillId="0" borderId="4" xfId="0" applyBorder="1" applyAlignment="1">
      <alignment horizontal="center" textRotation="90" wrapText="1"/>
    </xf>
    <xf numFmtId="0" fontId="0" fillId="0" borderId="4" xfId="0" applyBorder="1" applyAlignment="1">
      <alignment horizontal="center" textRotation="90"/>
    </xf>
    <xf numFmtId="0" fontId="0" fillId="0" borderId="4" xfId="0" applyBorder="1"/>
    <xf numFmtId="0" fontId="8" fillId="2" borderId="9" xfId="0" applyFont="1" applyFill="1" applyBorder="1" applyProtection="1">
      <protection locked="0"/>
    </xf>
    <xf numFmtId="0" fontId="8" fillId="2" borderId="10" xfId="0" applyFont="1" applyFill="1" applyBorder="1" applyProtection="1">
      <protection locked="0"/>
    </xf>
    <xf numFmtId="0" fontId="7" fillId="0" borderId="4" xfId="0" applyFont="1" applyBorder="1" applyAlignment="1" applyProtection="1">
      <alignment horizontal="center" wrapText="1"/>
      <protection locked="0"/>
    </xf>
    <xf numFmtId="1" fontId="8" fillId="0" borderId="4" xfId="0" applyNumberFormat="1" applyFont="1" applyBorder="1" applyAlignment="1" applyProtection="1">
      <alignment horizontal="center"/>
      <protection locked="0"/>
    </xf>
    <xf numFmtId="1" fontId="8" fillId="0" borderId="4" xfId="2" applyNumberFormat="1" applyFont="1" applyFill="1" applyBorder="1" applyAlignment="1" applyProtection="1">
      <alignment horizontal="center"/>
      <protection locked="0"/>
    </xf>
    <xf numFmtId="0" fontId="8" fillId="0" borderId="11" xfId="0" applyFont="1" applyBorder="1" applyProtection="1">
      <protection locked="0"/>
    </xf>
    <xf numFmtId="14" fontId="7" fillId="0" borderId="0" xfId="0" applyNumberFormat="1" applyFont="1" applyProtection="1">
      <protection locked="0"/>
    </xf>
    <xf numFmtId="14" fontId="7" fillId="0" borderId="0" xfId="0" applyNumberFormat="1" applyFont="1" applyAlignment="1" applyProtection="1">
      <alignment horizontal="left"/>
      <protection locked="0"/>
    </xf>
    <xf numFmtId="14" fontId="0" fillId="0" borderId="0" xfId="0" applyNumberFormat="1"/>
    <xf numFmtId="164" fontId="17" fillId="0" borderId="0" xfId="0" applyNumberFormat="1" applyFont="1" applyAlignment="1">
      <alignment horizontal="left"/>
    </xf>
    <xf numFmtId="0" fontId="4" fillId="0" borderId="0" xfId="0" applyFont="1"/>
    <xf numFmtId="0" fontId="5" fillId="4" borderId="0" xfId="0" applyFont="1" applyFill="1" applyAlignment="1">
      <alignment vertical="center"/>
    </xf>
    <xf numFmtId="165" fontId="7" fillId="0" borderId="0" xfId="0" applyNumberFormat="1" applyFont="1"/>
    <xf numFmtId="1" fontId="8" fillId="0" borderId="5" xfId="0" applyNumberFormat="1" applyFont="1" applyBorder="1" applyAlignment="1" applyProtection="1">
      <alignment horizontal="center"/>
      <protection locked="0"/>
    </xf>
    <xf numFmtId="1" fontId="8" fillId="2" borderId="14" xfId="0" applyNumberFormat="1" applyFont="1" applyFill="1" applyBorder="1" applyAlignment="1" applyProtection="1">
      <alignment horizontal="center"/>
      <protection locked="0"/>
    </xf>
    <xf numFmtId="1" fontId="8" fillId="2" borderId="14" xfId="2" applyNumberFormat="1" applyFont="1" applyFill="1" applyBorder="1" applyAlignment="1" applyProtection="1">
      <alignment horizontal="center"/>
      <protection locked="0"/>
    </xf>
    <xf numFmtId="1" fontId="8" fillId="2" borderId="15" xfId="0" applyNumberFormat="1" applyFont="1" applyFill="1" applyBorder="1" applyAlignment="1" applyProtection="1">
      <alignment horizontal="center"/>
      <protection locked="0"/>
    </xf>
    <xf numFmtId="0" fontId="0" fillId="0" borderId="0" xfId="0" applyAlignment="1">
      <alignment vertical="center"/>
    </xf>
    <xf numFmtId="14" fontId="0" fillId="0" borderId="12" xfId="0" applyNumberFormat="1" applyBorder="1" applyAlignment="1" applyProtection="1">
      <alignment horizontal="left"/>
      <protection locked="0"/>
    </xf>
    <xf numFmtId="0" fontId="11" fillId="0" borderId="12" xfId="0" applyFont="1" applyBorder="1" applyAlignment="1">
      <alignment horizontal="center"/>
    </xf>
    <xf numFmtId="0" fontId="11" fillId="0" borderId="12" xfId="0" applyFont="1" applyBorder="1" applyAlignment="1">
      <alignment horizontal="center" wrapText="1"/>
    </xf>
    <xf numFmtId="164" fontId="11" fillId="0" borderId="12" xfId="0" applyNumberFormat="1" applyFont="1" applyBorder="1" applyAlignment="1">
      <alignment horizontal="center" wrapText="1"/>
    </xf>
    <xf numFmtId="0" fontId="12" fillId="0" borderId="12" xfId="0" applyFont="1" applyBorder="1" applyAlignment="1">
      <alignment horizontal="center"/>
    </xf>
    <xf numFmtId="0" fontId="0" fillId="0" borderId="12" xfId="0" applyBorder="1" applyAlignment="1">
      <alignment horizontal="right" textRotation="90" wrapText="1"/>
    </xf>
    <xf numFmtId="0" fontId="0" fillId="0" borderId="13" xfId="0" applyBorder="1" applyAlignment="1">
      <alignment horizontal="center" textRotation="90"/>
    </xf>
    <xf numFmtId="0" fontId="15" fillId="2" borderId="14" xfId="0" applyFont="1" applyFill="1" applyBorder="1" applyAlignment="1" applyProtection="1">
      <alignment horizontal="left"/>
      <protection locked="0"/>
    </xf>
    <xf numFmtId="0" fontId="0" fillId="0" borderId="5" xfId="0" applyBorder="1"/>
    <xf numFmtId="0" fontId="21" fillId="0" borderId="12" xfId="0" applyFont="1" applyBorder="1" applyAlignment="1">
      <alignment horizontal="center" wrapText="1"/>
    </xf>
    <xf numFmtId="0" fontId="0" fillId="0" borderId="0" xfId="0" applyAlignment="1">
      <alignment vertical="top"/>
    </xf>
    <xf numFmtId="0" fontId="0" fillId="0" borderId="0" xfId="0" applyAlignment="1">
      <alignment horizontal="right" vertical="top"/>
    </xf>
    <xf numFmtId="0" fontId="11" fillId="0" borderId="12" xfId="0" applyFont="1" applyBorder="1" applyAlignment="1">
      <alignment horizontal="center" vertical="top" wrapText="1"/>
    </xf>
    <xf numFmtId="0" fontId="0" fillId="0" borderId="0" xfId="0" applyAlignment="1">
      <alignment horizontal="left" vertical="top"/>
    </xf>
    <xf numFmtId="0" fontId="1" fillId="0" borderId="0" xfId="1" applyBorder="1" applyAlignment="1" applyProtection="1">
      <alignment horizontal="left" vertical="top"/>
    </xf>
    <xf numFmtId="164" fontId="0" fillId="0" borderId="0" xfId="0" applyNumberFormat="1" applyAlignment="1">
      <alignment vertical="top"/>
    </xf>
    <xf numFmtId="0" fontId="0" fillId="0" borderId="4" xfId="0" applyBorder="1" applyAlignment="1">
      <alignment horizontal="left" indent="1"/>
    </xf>
    <xf numFmtId="1" fontId="8" fillId="0" borderId="16" xfId="0" applyNumberFormat="1" applyFont="1" applyBorder="1" applyAlignment="1" applyProtection="1">
      <alignment horizontal="center"/>
      <protection locked="0"/>
    </xf>
    <xf numFmtId="0" fontId="23" fillId="2" borderId="4" xfId="0" applyFont="1" applyFill="1" applyBorder="1" applyAlignment="1" applyProtection="1">
      <alignment horizontal="center"/>
      <protection locked="0"/>
    </xf>
    <xf numFmtId="0" fontId="11" fillId="2" borderId="4" xfId="0" applyFont="1" applyFill="1" applyBorder="1" applyAlignment="1" applyProtection="1">
      <alignment wrapText="1"/>
      <protection locked="0"/>
    </xf>
    <xf numFmtId="164" fontId="23" fillId="2" borderId="4" xfId="0" applyNumberFormat="1" applyFont="1" applyFill="1" applyBorder="1" applyAlignment="1" applyProtection="1">
      <alignment horizontal="center"/>
      <protection locked="0"/>
    </xf>
    <xf numFmtId="0" fontId="23" fillId="2" borderId="4" xfId="0" applyFont="1" applyFill="1" applyBorder="1" applyProtection="1">
      <protection locked="0"/>
    </xf>
    <xf numFmtId="0" fontId="8" fillId="0" borderId="4" xfId="0" applyFont="1" applyBorder="1" applyAlignment="1" applyProtection="1">
      <alignment vertical="center" wrapText="1"/>
      <protection locked="0"/>
    </xf>
    <xf numFmtId="0" fontId="8" fillId="0" borderId="4" xfId="0" applyFont="1" applyBorder="1" applyAlignment="1" applyProtection="1">
      <alignment vertical="top" wrapText="1"/>
      <protection locked="0"/>
    </xf>
    <xf numFmtId="0" fontId="23" fillId="2" borderId="4" xfId="0" applyFont="1" applyFill="1" applyBorder="1" applyAlignment="1" applyProtection="1">
      <alignment wrapText="1"/>
      <protection locked="0"/>
    </xf>
    <xf numFmtId="0" fontId="12" fillId="2" borderId="4" xfId="0" applyFont="1" applyFill="1" applyBorder="1" applyAlignment="1" applyProtection="1">
      <alignment wrapText="1"/>
      <protection locked="0"/>
    </xf>
    <xf numFmtId="0" fontId="7" fillId="0" borderId="14" xfId="0" applyFont="1" applyBorder="1" applyAlignment="1" applyProtection="1">
      <alignment horizontal="center" wrapText="1"/>
      <protection locked="0"/>
    </xf>
    <xf numFmtId="164" fontId="11" fillId="0" borderId="2" xfId="0" applyNumberFormat="1" applyFont="1" applyBorder="1" applyAlignment="1">
      <alignment horizontal="center" wrapText="1"/>
    </xf>
    <xf numFmtId="164" fontId="4" fillId="0" borderId="0" xfId="0" applyNumberFormat="1" applyFont="1"/>
    <xf numFmtId="1" fontId="19" fillId="2" borderId="17" xfId="2" applyNumberFormat="1" applyFont="1" applyFill="1" applyBorder="1" applyAlignment="1" applyProtection="1">
      <alignment horizontal="left"/>
      <protection locked="0"/>
    </xf>
    <xf numFmtId="1" fontId="8" fillId="2" borderId="17" xfId="2" applyNumberFormat="1" applyFont="1" applyFill="1" applyBorder="1" applyAlignment="1" applyProtection="1">
      <alignment horizontal="center"/>
      <protection locked="0"/>
    </xf>
    <xf numFmtId="0" fontId="8" fillId="2" borderId="0" xfId="0" applyFont="1" applyFill="1" applyProtection="1">
      <protection locked="0"/>
    </xf>
    <xf numFmtId="0" fontId="8" fillId="0" borderId="0" xfId="0" applyFont="1" applyProtection="1">
      <protection locked="0"/>
    </xf>
    <xf numFmtId="0" fontId="6" fillId="0" borderId="16" xfId="0" applyFont="1" applyBorder="1" applyProtection="1">
      <protection locked="0"/>
    </xf>
    <xf numFmtId="0" fontId="20" fillId="0" borderId="0" xfId="0" applyFont="1"/>
    <xf numFmtId="14" fontId="4" fillId="0" borderId="0" xfId="0" applyNumberFormat="1" applyFont="1" applyAlignment="1">
      <alignment horizontal="right"/>
    </xf>
    <xf numFmtId="164" fontId="10" fillId="3" borderId="0" xfId="0" applyNumberFormat="1" applyFont="1" applyFill="1" applyAlignment="1">
      <alignment horizontal="right"/>
    </xf>
    <xf numFmtId="0" fontId="27" fillId="0" borderId="2" xfId="0" applyFont="1" applyBorder="1" applyAlignment="1">
      <alignment horizontal="left" wrapText="1"/>
    </xf>
    <xf numFmtId="0" fontId="24" fillId="0" borderId="4" xfId="0" applyFont="1" applyBorder="1" applyAlignment="1">
      <alignment vertical="top"/>
    </xf>
    <xf numFmtId="0" fontId="0" fillId="0" borderId="18" xfId="0" applyBorder="1" applyAlignment="1">
      <alignment horizontal="center" textRotation="90"/>
    </xf>
    <xf numFmtId="1" fontId="8" fillId="0" borderId="18" xfId="2" applyNumberFormat="1" applyFont="1" applyFill="1" applyBorder="1" applyAlignment="1" applyProtection="1">
      <alignment horizontal="center"/>
      <protection locked="0"/>
    </xf>
    <xf numFmtId="0" fontId="26" fillId="2" borderId="0" xfId="0" applyFont="1" applyFill="1" applyAlignment="1">
      <alignment vertical="center"/>
    </xf>
    <xf numFmtId="0" fontId="25" fillId="2" borderId="4" xfId="0" applyFont="1" applyFill="1" applyBorder="1" applyAlignment="1">
      <alignment wrapText="1"/>
    </xf>
    <xf numFmtId="0" fontId="7" fillId="0" borderId="2" xfId="0" applyFont="1" applyBorder="1" applyProtection="1">
      <protection locked="0"/>
    </xf>
    <xf numFmtId="0" fontId="7" fillId="2" borderId="4" xfId="0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>
      <alignment horizontal="center" vertical="center"/>
    </xf>
    <xf numFmtId="0" fontId="28" fillId="2" borderId="0" xfId="0" applyFont="1" applyFill="1" applyAlignment="1">
      <alignment vertical="center"/>
    </xf>
    <xf numFmtId="0" fontId="24" fillId="0" borderId="14" xfId="0" applyFont="1" applyBorder="1" applyAlignment="1">
      <alignment vertical="top"/>
    </xf>
    <xf numFmtId="0" fontId="24" fillId="0" borderId="4" xfId="0" applyFont="1" applyBorder="1" applyAlignment="1">
      <alignment vertical="top" wrapText="1"/>
    </xf>
    <xf numFmtId="0" fontId="24" fillId="0" borderId="14" xfId="0" applyFont="1" applyBorder="1" applyAlignment="1">
      <alignment vertical="top" wrapText="1"/>
    </xf>
    <xf numFmtId="0" fontId="29" fillId="0" borderId="4" xfId="0" applyFont="1" applyBorder="1" applyAlignment="1">
      <alignment horizontal="center" vertical="center"/>
    </xf>
    <xf numFmtId="0" fontId="22" fillId="0" borderId="14" xfId="0" applyFont="1" applyBorder="1" applyAlignment="1">
      <alignment horizontal="center" vertical="center"/>
    </xf>
    <xf numFmtId="164" fontId="8" fillId="0" borderId="4" xfId="0" applyNumberFormat="1" applyFont="1" applyBorder="1" applyAlignment="1">
      <alignment horizontal="center" vertical="center"/>
    </xf>
    <xf numFmtId="9" fontId="8" fillId="0" borderId="4" xfId="2" applyFont="1" applyFill="1" applyBorder="1" applyAlignment="1" applyProtection="1">
      <alignment horizontal="center" vertical="center"/>
      <protection locked="0"/>
    </xf>
    <xf numFmtId="1" fontId="8" fillId="0" borderId="4" xfId="0" applyNumberFormat="1" applyFont="1" applyBorder="1" applyAlignment="1" applyProtection="1">
      <alignment horizontal="center" vertical="center"/>
      <protection locked="0"/>
    </xf>
    <xf numFmtId="9" fontId="8" fillId="0" borderId="14" xfId="2" applyFont="1" applyFill="1" applyBorder="1" applyAlignment="1" applyProtection="1">
      <alignment horizontal="center" vertical="center"/>
      <protection locked="0"/>
    </xf>
    <xf numFmtId="164" fontId="23" fillId="2" borderId="4" xfId="0" applyNumberFormat="1" applyFont="1" applyFill="1" applyBorder="1" applyAlignment="1" applyProtection="1">
      <alignment horizontal="center" vertical="center"/>
      <protection locked="0"/>
    </xf>
    <xf numFmtId="0" fontId="23" fillId="2" borderId="4" xfId="0" applyFont="1" applyFill="1" applyBorder="1" applyAlignment="1" applyProtection="1">
      <alignment horizontal="center" vertical="center"/>
      <protection locked="0"/>
    </xf>
    <xf numFmtId="9" fontId="11" fillId="2" borderId="4" xfId="2" applyFont="1" applyFill="1" applyBorder="1" applyAlignment="1" applyProtection="1">
      <alignment horizontal="center" vertical="center" wrapText="1"/>
      <protection locked="0"/>
    </xf>
    <xf numFmtId="0" fontId="25" fillId="2" borderId="4" xfId="0" applyFont="1" applyFill="1" applyBorder="1" applyAlignment="1">
      <alignment horizontal="center" vertical="center" wrapText="1"/>
    </xf>
    <xf numFmtId="164" fontId="18" fillId="0" borderId="0" xfId="0" applyNumberFormat="1" applyFont="1"/>
    <xf numFmtId="0" fontId="26" fillId="2" borderId="0" xfId="0" applyFont="1" applyFill="1" applyAlignment="1">
      <alignment vertical="center" wrapText="1"/>
    </xf>
    <xf numFmtId="0" fontId="28" fillId="2" borderId="0" xfId="0" applyFont="1" applyFill="1" applyAlignment="1">
      <alignment vertical="center" wrapText="1"/>
    </xf>
    <xf numFmtId="0" fontId="0" fillId="0" borderId="0" xfId="0" applyAlignment="1">
      <alignment wrapText="1"/>
    </xf>
    <xf numFmtId="0" fontId="7" fillId="0" borderId="2" xfId="0" applyFont="1" applyBorder="1" applyAlignment="1" applyProtection="1">
      <alignment wrapText="1"/>
      <protection locked="0"/>
    </xf>
    <xf numFmtId="14" fontId="7" fillId="0" borderId="0" xfId="0" applyNumberFormat="1" applyFont="1" applyAlignment="1" applyProtection="1">
      <alignment horizontal="left" wrapText="1"/>
      <protection locked="0"/>
    </xf>
    <xf numFmtId="0" fontId="15" fillId="2" borderId="14" xfId="0" applyFont="1" applyFill="1" applyBorder="1" applyAlignment="1" applyProtection="1">
      <alignment horizontal="left" wrapText="1"/>
      <protection locked="0"/>
    </xf>
    <xf numFmtId="0" fontId="0" fillId="0" borderId="0" xfId="0" applyAlignment="1">
      <alignment horizontal="left" wrapText="1"/>
    </xf>
    <xf numFmtId="166" fontId="23" fillId="2" borderId="4" xfId="0" applyNumberFormat="1" applyFont="1" applyFill="1" applyBorder="1" applyAlignment="1" applyProtection="1">
      <alignment horizontal="center"/>
      <protection locked="0"/>
    </xf>
    <xf numFmtId="166" fontId="8" fillId="0" borderId="4" xfId="0" applyNumberFormat="1" applyFont="1" applyBorder="1" applyAlignment="1" applyProtection="1">
      <alignment vertical="top" wrapText="1"/>
      <protection locked="0"/>
    </xf>
    <xf numFmtId="166" fontId="23" fillId="2" borderId="4" xfId="0" applyNumberFormat="1" applyFont="1" applyFill="1" applyBorder="1" applyProtection="1">
      <protection locked="0"/>
    </xf>
    <xf numFmtId="166" fontId="24" fillId="0" borderId="4" xfId="0" applyNumberFormat="1" applyFont="1" applyBorder="1" applyAlignment="1">
      <alignment vertical="top" wrapText="1"/>
    </xf>
    <xf numFmtId="166" fontId="7" fillId="0" borderId="14" xfId="0" applyNumberFormat="1" applyFont="1" applyBorder="1" applyAlignment="1" applyProtection="1">
      <alignment horizontal="center" wrapText="1"/>
      <protection locked="0"/>
    </xf>
    <xf numFmtId="9" fontId="11" fillId="2" borderId="4" xfId="2" applyFont="1" applyFill="1" applyBorder="1" applyAlignment="1" applyProtection="1">
      <alignment horizontal="center" wrapText="1"/>
      <protection locked="0"/>
    </xf>
    <xf numFmtId="166" fontId="8" fillId="0" borderId="4" xfId="0" quotePrefix="1" applyNumberFormat="1" applyFont="1" applyBorder="1" applyAlignment="1" applyProtection="1">
      <alignment vertical="top" wrapText="1"/>
      <protection locked="0"/>
    </xf>
    <xf numFmtId="0" fontId="0" fillId="0" borderId="0" xfId="0" applyAlignment="1" applyProtection="1">
      <alignment vertical="center"/>
      <protection locked="0"/>
    </xf>
    <xf numFmtId="0" fontId="9" fillId="0" borderId="0" xfId="0" applyFont="1" applyAlignment="1">
      <alignment vertical="center"/>
    </xf>
    <xf numFmtId="0" fontId="11" fillId="0" borderId="15" xfId="0" applyFont="1" applyBorder="1" applyAlignment="1">
      <alignment horizontal="center" vertical="center" wrapText="1"/>
    </xf>
    <xf numFmtId="0" fontId="23" fillId="2" borderId="4" xfId="0" applyFont="1" applyFill="1" applyBorder="1" applyAlignment="1" applyProtection="1">
      <alignment horizontal="left" vertical="center"/>
      <protection locked="0"/>
    </xf>
    <xf numFmtId="0" fontId="8" fillId="0" borderId="4" xfId="0" applyFont="1" applyBorder="1" applyAlignment="1" applyProtection="1">
      <alignment vertical="center"/>
      <protection locked="0"/>
    </xf>
    <xf numFmtId="0" fontId="22" fillId="0" borderId="14" xfId="0" quotePrefix="1" applyFont="1" applyBorder="1" applyAlignment="1">
      <alignment horizontal="center" vertical="center"/>
    </xf>
    <xf numFmtId="0" fontId="0" fillId="0" borderId="0" xfId="0" applyAlignment="1">
      <alignment vertical="center" wrapText="1"/>
    </xf>
    <xf numFmtId="0" fontId="7" fillId="0" borderId="2" xfId="0" applyFont="1" applyBorder="1" applyAlignment="1" applyProtection="1">
      <alignment vertical="center" wrapText="1"/>
      <protection locked="0"/>
    </xf>
    <xf numFmtId="14" fontId="7" fillId="0" borderId="0" xfId="0" applyNumberFormat="1" applyFont="1" applyAlignment="1" applyProtection="1">
      <alignment horizontal="left" vertical="center" wrapText="1"/>
      <protection locked="0"/>
    </xf>
    <xf numFmtId="164" fontId="11" fillId="0" borderId="2" xfId="0" applyNumberFormat="1" applyFont="1" applyBorder="1" applyAlignment="1">
      <alignment horizontal="center" vertical="center" wrapText="1"/>
    </xf>
    <xf numFmtId="0" fontId="11" fillId="2" borderId="4" xfId="0" applyFont="1" applyFill="1" applyBorder="1" applyAlignment="1" applyProtection="1">
      <alignment vertical="center" wrapText="1"/>
      <protection locked="0"/>
    </xf>
    <xf numFmtId="0" fontId="24" fillId="0" borderId="4" xfId="0" applyFont="1" applyBorder="1" applyAlignment="1">
      <alignment vertical="center" wrapText="1"/>
    </xf>
    <xf numFmtId="0" fontId="23" fillId="2" borderId="4" xfId="0" applyFont="1" applyFill="1" applyBorder="1" applyAlignment="1" applyProtection="1">
      <alignment vertical="center" wrapText="1"/>
      <protection locked="0"/>
    </xf>
    <xf numFmtId="0" fontId="24" fillId="0" borderId="14" xfId="0" applyFont="1" applyBorder="1" applyAlignment="1">
      <alignment vertical="center" wrapText="1"/>
    </xf>
    <xf numFmtId="0" fontId="0" fillId="0" borderId="0" xfId="0" applyAlignment="1">
      <alignment horizontal="left" vertical="center" wrapText="1"/>
    </xf>
    <xf numFmtId="0" fontId="8" fillId="0" borderId="14" xfId="0" applyFont="1" applyBorder="1" applyAlignment="1" applyProtection="1">
      <alignment vertical="center" wrapText="1"/>
      <protection locked="0"/>
    </xf>
    <xf numFmtId="14" fontId="28" fillId="2" borderId="0" xfId="0" applyNumberFormat="1" applyFont="1" applyFill="1" applyAlignment="1">
      <alignment vertical="center"/>
    </xf>
    <xf numFmtId="0" fontId="31" fillId="0" borderId="4" xfId="0" applyFont="1" applyBorder="1" applyAlignment="1" applyProtection="1">
      <alignment horizontal="center" wrapText="1"/>
      <protection locked="0"/>
    </xf>
    <xf numFmtId="0" fontId="32" fillId="0" borderId="4" xfId="0" applyFont="1" applyBorder="1" applyAlignment="1">
      <alignment vertical="top"/>
    </xf>
    <xf numFmtId="0" fontId="32" fillId="0" borderId="4" xfId="0" applyFont="1" applyBorder="1" applyAlignment="1">
      <alignment vertical="top" wrapText="1"/>
    </xf>
    <xf numFmtId="166" fontId="31" fillId="0" borderId="16" xfId="0" applyNumberFormat="1" applyFont="1" applyBorder="1" applyAlignment="1" applyProtection="1">
      <alignment horizontal="center" wrapText="1"/>
      <protection locked="0"/>
    </xf>
    <xf numFmtId="0" fontId="33" fillId="0" borderId="4" xfId="0" applyFont="1" applyBorder="1" applyAlignment="1">
      <alignment horizontal="center"/>
    </xf>
    <xf numFmtId="1" fontId="30" fillId="0" borderId="4" xfId="0" applyNumberFormat="1" applyFont="1" applyBorder="1" applyAlignment="1" applyProtection="1">
      <alignment horizontal="center"/>
      <protection locked="0"/>
    </xf>
    <xf numFmtId="9" fontId="30" fillId="0" borderId="4" xfId="2" applyFont="1" applyFill="1" applyBorder="1" applyAlignment="1" applyProtection="1">
      <alignment horizontal="center"/>
      <protection locked="0"/>
    </xf>
    <xf numFmtId="1" fontId="30" fillId="0" borderId="4" xfId="2" applyNumberFormat="1" applyFont="1" applyFill="1" applyBorder="1" applyAlignment="1" applyProtection="1">
      <alignment horizontal="center"/>
      <protection locked="0"/>
    </xf>
    <xf numFmtId="1" fontId="30" fillId="0" borderId="16" xfId="0" applyNumberFormat="1" applyFont="1" applyBorder="1" applyAlignment="1" applyProtection="1">
      <alignment horizontal="center"/>
      <protection locked="0"/>
    </xf>
    <xf numFmtId="0" fontId="30" fillId="0" borderId="4" xfId="0" applyFont="1" applyBorder="1" applyProtection="1">
      <protection locked="0"/>
    </xf>
    <xf numFmtId="0" fontId="30" fillId="0" borderId="18" xfId="0" applyFont="1" applyBorder="1" applyProtection="1">
      <protection locked="0"/>
    </xf>
    <xf numFmtId="0" fontId="30" fillId="0" borderId="19" xfId="0" applyFont="1" applyBorder="1" applyProtection="1">
      <protection locked="0"/>
    </xf>
    <xf numFmtId="0" fontId="32" fillId="0" borderId="14" xfId="0" applyFont="1" applyBorder="1" applyAlignment="1">
      <alignment vertical="top"/>
    </xf>
    <xf numFmtId="164" fontId="30" fillId="0" borderId="8" xfId="0" applyNumberFormat="1" applyFont="1" applyBorder="1" applyAlignment="1" applyProtection="1">
      <alignment horizontal="right"/>
      <protection locked="0"/>
    </xf>
    <xf numFmtId="164" fontId="30" fillId="0" borderId="4" xfId="0" applyNumberFormat="1" applyFont="1" applyBorder="1" applyAlignment="1" applyProtection="1">
      <alignment horizontal="right"/>
      <protection locked="0"/>
    </xf>
    <xf numFmtId="0" fontId="32" fillId="2" borderId="4" xfId="0" applyFont="1" applyFill="1" applyBorder="1" applyAlignment="1" applyProtection="1">
      <alignment vertical="top"/>
      <protection locked="0"/>
    </xf>
    <xf numFmtId="0" fontId="32" fillId="0" borderId="14" xfId="0" applyFont="1" applyBorder="1" applyAlignment="1" applyProtection="1">
      <alignment vertical="top"/>
      <protection locked="0"/>
    </xf>
    <xf numFmtId="0" fontId="32" fillId="2" borderId="4" xfId="0" applyFont="1" applyFill="1" applyBorder="1" applyAlignment="1" applyProtection="1">
      <alignment vertical="top" wrapText="1"/>
      <protection locked="0"/>
    </xf>
    <xf numFmtId="0" fontId="21" fillId="0" borderId="2" xfId="0" applyFont="1" applyBorder="1" applyAlignment="1">
      <alignment horizontal="center" wrapText="1"/>
    </xf>
    <xf numFmtId="0" fontId="8" fillId="3" borderId="0" xfId="0" applyFont="1" applyFill="1" applyAlignment="1" applyProtection="1">
      <alignment horizontal="right"/>
      <protection locked="0"/>
    </xf>
    <xf numFmtId="0" fontId="8" fillId="3" borderId="0" xfId="0" applyFont="1" applyFill="1" applyAlignment="1" applyProtection="1">
      <alignment horizontal="center"/>
      <protection locked="0"/>
    </xf>
    <xf numFmtId="0" fontId="20" fillId="0" borderId="4" xfId="0" applyFont="1" applyBorder="1"/>
    <xf numFmtId="164" fontId="34" fillId="0" borderId="0" xfId="0" applyNumberFormat="1" applyFont="1"/>
    <xf numFmtId="166" fontId="8" fillId="0" borderId="16" xfId="0" applyNumberFormat="1" applyFont="1" applyBorder="1" applyAlignment="1" applyProtection="1">
      <alignment vertical="top" wrapText="1"/>
      <protection locked="0"/>
    </xf>
    <xf numFmtId="1" fontId="8" fillId="0" borderId="4" xfId="0" applyNumberFormat="1" applyFont="1" applyBorder="1" applyAlignment="1" applyProtection="1">
      <alignment horizontal="center" vertical="top"/>
      <protection locked="0"/>
    </xf>
    <xf numFmtId="165" fontId="13" fillId="0" borderId="7" xfId="0" applyNumberFormat="1" applyFont="1" applyBorder="1" applyAlignment="1">
      <alignment horizontal="center" vertical="center"/>
    </xf>
    <xf numFmtId="165" fontId="14" fillId="0" borderId="3" xfId="0" applyNumberFormat="1" applyFont="1" applyBorder="1" applyAlignment="1">
      <alignment horizontal="center" vertical="center"/>
    </xf>
    <xf numFmtId="165" fontId="14" fillId="0" borderId="6" xfId="0" applyNumberFormat="1" applyFont="1" applyBorder="1" applyAlignment="1">
      <alignment horizontal="center" vertical="center"/>
    </xf>
    <xf numFmtId="165" fontId="14" fillId="0" borderId="8" xfId="0" applyNumberFormat="1" applyFont="1" applyBorder="1" applyAlignment="1">
      <alignment horizontal="center" vertical="center"/>
    </xf>
    <xf numFmtId="14" fontId="7" fillId="0" borderId="2" xfId="0" applyNumberFormat="1" applyFont="1" applyBorder="1" applyAlignment="1" applyProtection="1">
      <alignment horizontal="center"/>
      <protection locked="0"/>
    </xf>
    <xf numFmtId="165" fontId="13" fillId="0" borderId="5" xfId="0" applyNumberFormat="1" applyFont="1" applyBorder="1" applyAlignment="1">
      <alignment horizontal="center" vertical="center"/>
    </xf>
    <xf numFmtId="0" fontId="26" fillId="2" borderId="0" xfId="0" applyFont="1" applyFill="1" applyAlignment="1">
      <alignment horizontal="left" vertical="center" wrapText="1"/>
    </xf>
    <xf numFmtId="0" fontId="4" fillId="0" borderId="0" xfId="0" applyFont="1" applyAlignment="1">
      <alignment wrapText="1"/>
    </xf>
  </cellXfs>
  <cellStyles count="4">
    <cellStyle name="Hyperlink" xfId="1" builtinId="8" customBuiltin="1"/>
    <cellStyle name="Normal" xfId="0" builtinId="0"/>
    <cellStyle name="Percent" xfId="2" builtinId="5"/>
    <cellStyle name="Standard 2" xfId="3" xr:uid="{00000000-0005-0000-0000-000003000000}"/>
  </cellStyles>
  <dxfs count="74">
    <dxf>
      <font>
        <b/>
        <i val="0"/>
        <color rgb="FFFF0000"/>
      </font>
    </dxf>
    <dxf>
      <fill>
        <patternFill>
          <bgColor theme="4" tint="-0.499984740745262"/>
        </patternFill>
      </fill>
    </dxf>
    <dxf>
      <fill>
        <patternFill>
          <bgColor theme="4" tint="0.59996337778862885"/>
        </patternFill>
      </fill>
    </dxf>
    <dxf>
      <font>
        <condense val="0"/>
        <extend val="0"/>
        <color auto="1"/>
      </font>
      <fill>
        <patternFill>
          <bgColor theme="4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ndense val="0"/>
        <extend val="0"/>
        <color auto="1"/>
      </font>
      <fill>
        <patternFill>
          <bgColor rgb="FF00B050"/>
        </patternFill>
      </fill>
    </dxf>
    <dxf>
      <font>
        <b/>
        <i val="0"/>
        <color rgb="FFFF0000"/>
      </font>
    </dxf>
    <dxf>
      <font>
        <condense val="0"/>
        <extend val="0"/>
        <color auto="1"/>
      </font>
      <fill>
        <patternFill>
          <bgColor rgb="FF00B050"/>
        </patternFill>
      </fill>
    </dxf>
    <dxf>
      <font>
        <b/>
        <i val="0"/>
        <color rgb="FFFF0000"/>
      </font>
    </dxf>
    <dxf>
      <font>
        <condense val="0"/>
        <extend val="0"/>
        <color auto="1"/>
      </font>
      <fill>
        <patternFill>
          <bgColor rgb="FF00B050"/>
        </patternFill>
      </fill>
    </dxf>
    <dxf>
      <font>
        <b/>
        <i val="0"/>
        <color rgb="FFFF0000"/>
      </font>
    </dxf>
    <dxf>
      <font>
        <condense val="0"/>
        <extend val="0"/>
        <color auto="1"/>
      </font>
      <fill>
        <patternFill>
          <bgColor rgb="FF00B050"/>
        </patternFill>
      </fill>
    </dxf>
    <dxf>
      <font>
        <b/>
        <i val="0"/>
        <color rgb="FFFF0000"/>
      </font>
    </dxf>
    <dxf>
      <fill>
        <patternFill>
          <bgColor theme="4" tint="-0.499984740745262"/>
        </patternFill>
      </fill>
    </dxf>
    <dxf>
      <fill>
        <patternFill>
          <bgColor theme="4" tint="0.59996337778862885"/>
        </patternFill>
      </fill>
    </dxf>
    <dxf>
      <font>
        <condense val="0"/>
        <extend val="0"/>
        <color auto="1"/>
      </font>
      <fill>
        <patternFill>
          <bgColor theme="4"/>
        </patternFill>
      </fill>
    </dxf>
    <dxf>
      <font>
        <condense val="0"/>
        <extend val="0"/>
        <color auto="1"/>
      </font>
      <fill>
        <patternFill>
          <bgColor rgb="FF00B0F0"/>
        </patternFill>
      </fill>
    </dxf>
    <dxf>
      <font>
        <condense val="0"/>
        <extend val="0"/>
        <color auto="1"/>
      </font>
      <fill>
        <patternFill>
          <bgColor rgb="FF00B0F0"/>
        </patternFill>
      </fill>
    </dxf>
    <dxf>
      <font>
        <condense val="0"/>
        <extend val="0"/>
        <color auto="1"/>
      </font>
      <fill>
        <patternFill>
          <bgColor rgb="FF00B0F0"/>
        </patternFill>
      </fill>
    </dxf>
    <dxf>
      <font>
        <condense val="0"/>
        <extend val="0"/>
        <color auto="1"/>
      </font>
      <fill>
        <patternFill>
          <bgColor rgb="FF00B050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 style="thin">
          <color indexed="22"/>
        </top>
        <bottom style="thin">
          <color indexed="2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4" formatCode="dd\.mm\.yy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4" formatCode="dd\.mm\.yy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808080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6" formatCode="dd/mm/yy;@"/>
      <fill>
        <patternFill patternType="none">
          <fgColor indexed="64"/>
          <bgColor auto="1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general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general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" formatCode="0"/>
      <fill>
        <patternFill patternType="solid">
          <fgColor indexed="64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alignment horizontal="left" vertical="bottom" textRotation="0" wrapText="0" relativeIndent="1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1" justifyLastLine="0" shrinkToFit="0" readingOrder="0"/>
    </dxf>
    <dxf>
      <alignment horizontal="center" vertical="bottom" textRotation="0" wrapText="0" relative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color theme="1" tint="0.14996795556505021"/>
      </font>
      <fill>
        <patternFill>
          <bgColor theme="0" tint="-0.14996795556505021"/>
        </patternFill>
      </fill>
      <border diagonalUp="0" diagonalDown="0">
        <left/>
        <right/>
        <top/>
        <bottom/>
        <vertical style="thin">
          <color theme="0"/>
        </vertical>
        <horizontal/>
      </border>
    </dxf>
    <dxf>
      <font>
        <b val="0"/>
        <i val="0"/>
        <color theme="0"/>
      </font>
      <fill>
        <patternFill patternType="solid">
          <fgColor theme="6"/>
          <bgColor theme="1" tint="0.34998626667073579"/>
        </patternFill>
      </fill>
      <border>
        <horizontal/>
      </border>
    </dxf>
    <dxf>
      <font>
        <b val="0"/>
        <i val="0"/>
        <color theme="1" tint="0.14996795556505021"/>
      </font>
      <border>
        <vertical style="thin">
          <color theme="0" tint="-0.14996795556505021"/>
        </vertical>
        <horizontal style="thin">
          <color theme="0" tint="-0.14993743705557422"/>
        </horizontal>
      </border>
    </dxf>
    <dxf>
      <font>
        <b val="0"/>
        <i val="0"/>
        <color theme="1" tint="0.14996795556505021"/>
      </font>
      <fill>
        <patternFill>
          <bgColor theme="0" tint="-0.14996795556505021"/>
        </patternFill>
      </fill>
      <border diagonalUp="0" diagonalDown="0">
        <left/>
        <right/>
        <top/>
        <bottom/>
        <vertical style="thin">
          <color theme="0"/>
        </vertical>
        <horizontal/>
      </border>
    </dxf>
    <dxf>
      <font>
        <b val="0"/>
        <i val="0"/>
        <color theme="0"/>
      </font>
      <fill>
        <patternFill patternType="solid">
          <fgColor theme="6"/>
          <bgColor theme="1" tint="0.34998626667073579"/>
        </patternFill>
      </fill>
      <border>
        <horizontal/>
      </border>
    </dxf>
    <dxf>
      <font>
        <b val="0"/>
        <i val="0"/>
        <color theme="1" tint="0.14996795556505021"/>
      </font>
      <border>
        <vertical style="thin">
          <color theme="0" tint="-0.14996795556505021"/>
        </vertical>
        <horizontal style="thin">
          <color theme="0" tint="-0.14993743705557422"/>
        </horizontal>
      </border>
    </dxf>
    <dxf>
      <fill>
        <patternFill>
          <bgColor rgb="FFE2EFDA"/>
        </patternFill>
      </fill>
    </dxf>
    <dxf>
      <font>
        <b/>
        <i val="0"/>
        <color rgb="FFFFFFFF"/>
      </font>
      <fill>
        <patternFill>
          <bgColor rgb="FF70AD47"/>
        </patternFill>
      </fill>
    </dxf>
    <dxf>
      <border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  <horizontal style="thin">
          <color rgb="FFA9D08E"/>
        </horizontal>
      </border>
    </dxf>
    <dxf>
      <fill>
        <patternFill>
          <bgColor rgb="FFF0F0F0"/>
        </patternFill>
      </fill>
    </dxf>
    <dxf>
      <font>
        <b/>
        <i val="0"/>
        <color rgb="FFFFFFFF"/>
      </font>
      <fill>
        <patternFill>
          <bgColor rgb="FFABABAB"/>
        </patternFill>
      </fill>
    </dxf>
    <dxf>
      <border>
        <left style="thin">
          <color rgb="FFC6C6C6"/>
        </left>
        <right style="thin">
          <color rgb="FFC6C6C6"/>
        </right>
        <top style="thin">
          <color rgb="FFC6C6C6"/>
        </top>
        <bottom style="thin">
          <color rgb="FFC6C6C6"/>
        </bottom>
        <horizontal style="thin">
          <color rgb="FFC6C6C6"/>
        </horizontal>
      </border>
    </dxf>
    <dxf>
      <font>
        <b val="0"/>
        <i val="0"/>
        <color rgb="FF808080"/>
      </font>
      <fill>
        <patternFill>
          <bgColor rgb="FFFFFFFF"/>
        </patternFill>
      </fill>
      <border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  <vertical style="thin">
          <color rgb="FFBFBFBF"/>
        </vertical>
        <horizontal style="thin">
          <color rgb="FFBFBFBF"/>
        </horizontal>
      </border>
    </dxf>
    <dxf>
      <font>
        <color rgb="FF808080"/>
      </font>
      <fill>
        <patternFill>
          <bgColor rgb="FFF2F2F2"/>
        </patternFill>
      </fill>
      <border>
        <left style="thin">
          <color rgb="FFBFBFBF"/>
        </left>
        <right style="thin">
          <color rgb="FFBFBFBF"/>
        </right>
        <top/>
        <bottom style="thin">
          <color rgb="FFBFBFBF"/>
        </bottom>
        <vertical style="thin">
          <color rgb="FFBFBFBF"/>
        </vertical>
        <horizontal style="thin">
          <color rgb="FFBFBFBF"/>
        </horizontal>
      </border>
    </dxf>
    <dxf>
      <font>
        <b/>
        <i val="0"/>
        <color rgb="FFFFFFFF"/>
      </font>
      <fill>
        <patternFill>
          <bgColor rgb="FF009AE4"/>
        </patternFill>
      </fill>
      <border diagonalUp="0" diagonalDown="0">
        <left/>
        <right style="thin">
          <color rgb="FF009AE4"/>
        </right>
        <top style="thin">
          <color rgb="FF009AE4"/>
        </top>
        <bottom/>
        <vertical/>
        <horizontal/>
      </border>
    </dxf>
  </dxfs>
  <tableStyles count="5" defaultTableStyle="TableStyleMedium9" defaultPivotStyle="PivotStyleLight16">
    <tableStyle name="Table Style 1" pivot="0" count="3" xr9:uid="{00000000-0011-0000-FFFF-FFFF00000000}">
      <tableStyleElement type="headerRow" dxfId="73"/>
      <tableStyleElement type="firstRowStripe" dxfId="72"/>
      <tableStyleElement type="secondRowStripe" dxfId="71"/>
    </tableStyle>
    <tableStyle name="TableStyleQueryPreview" pivot="0" count="3" xr9:uid="{00000000-0011-0000-FFFF-FFFF01000000}">
      <tableStyleElement type="wholeTable" dxfId="70"/>
      <tableStyleElement type="headerRow" dxfId="69"/>
      <tableStyleElement type="firstRowStripe" dxfId="68"/>
    </tableStyle>
    <tableStyle name="TableStyleQueryResult" pivot="0" count="3" xr9:uid="{00000000-0011-0000-FFFF-FFFF02000000}">
      <tableStyleElement type="wholeTable" dxfId="67"/>
      <tableStyleElement type="headerRow" dxfId="66"/>
      <tableStyleElement type="firstRowStripe" dxfId="65"/>
    </tableStyle>
    <tableStyle name="Travel Expense Report" pivot="0" count="3" xr9:uid="{00000000-0011-0000-FFFF-FFFF03000000}">
      <tableStyleElement type="wholeTable" dxfId="64"/>
      <tableStyleElement type="headerRow" dxfId="63"/>
      <tableStyleElement type="totalRow" dxfId="62"/>
    </tableStyle>
    <tableStyle name="Travel Expense Report 2" pivot="0" count="3" xr9:uid="{00000000-0011-0000-FFFF-FFFF04000000}">
      <tableStyleElement type="wholeTable" dxfId="61"/>
      <tableStyleElement type="headerRow" dxfId="60"/>
      <tableStyleElement type="totalRow" dxfId="59"/>
    </tableStyle>
  </tableStyles>
  <colors>
    <mruColors>
      <color rgb="FF000066"/>
      <color rgb="FF3366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Scroll" dx="16" fmlaLink="$X$1" horiz="1" max="100" page="0" val="19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jpeg"/><Relationship Id="rId3" Type="http://schemas.microsoft.com/office/2007/relationships/hdphoto" Target="../media/hdphoto1.wdp"/><Relationship Id="rId7" Type="http://schemas.openxmlformats.org/officeDocument/2006/relationships/image" Target="../media/image9.jpeg"/><Relationship Id="rId2" Type="http://schemas.openxmlformats.org/officeDocument/2006/relationships/image" Target="../media/image5.png"/><Relationship Id="rId1" Type="http://schemas.openxmlformats.org/officeDocument/2006/relationships/image" Target="../media/image4.jpeg"/><Relationship Id="rId6" Type="http://schemas.openxmlformats.org/officeDocument/2006/relationships/image" Target="../media/image8.jpeg"/><Relationship Id="rId5" Type="http://schemas.openxmlformats.org/officeDocument/2006/relationships/image" Target="../media/image7.jpeg"/><Relationship Id="rId4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281214</xdr:colOff>
          <xdr:row>0</xdr:row>
          <xdr:rowOff>136071</xdr:rowOff>
        </xdr:from>
        <xdr:to>
          <xdr:col>30</xdr:col>
          <xdr:colOff>54429</xdr:colOff>
          <xdr:row>1</xdr:row>
          <xdr:rowOff>145143</xdr:rowOff>
        </xdr:to>
        <xdr:sp macro="" textlink="">
          <xdr:nvSpPr>
            <xdr:cNvPr id="1025" name="Scroll Bar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107950</xdr:colOff>
          <xdr:row>8</xdr:row>
          <xdr:rowOff>25400</xdr:rowOff>
        </xdr:from>
        <xdr:to>
          <xdr:col>19</xdr:col>
          <xdr:colOff>571500</xdr:colOff>
          <xdr:row>8</xdr:row>
          <xdr:rowOff>311150</xdr:rowOff>
        </xdr:to>
        <xdr:sp macro="" textlink="">
          <xdr:nvSpPr>
            <xdr:cNvPr id="1114" name="ein" hidden="1">
              <a:extLst>
                <a:ext uri="{63B3BB69-23CF-44E3-9099-C40C66FF867C}">
                  <a14:compatExt spid="_x0000_s1114"/>
                </a:ext>
                <a:ext uri="{FF2B5EF4-FFF2-40B4-BE49-F238E27FC236}">
                  <a16:creationId xmlns:a16="http://schemas.microsoft.com/office/drawing/2014/main" id="{00000000-0008-0000-0000-00005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63500</xdr:colOff>
          <xdr:row>1</xdr:row>
          <xdr:rowOff>63500</xdr:rowOff>
        </xdr:from>
        <xdr:to>
          <xdr:col>20</xdr:col>
          <xdr:colOff>0</xdr:colOff>
          <xdr:row>7</xdr:row>
          <xdr:rowOff>107950</xdr:rowOff>
        </xdr:to>
        <xdr:sp macro="" textlink="">
          <xdr:nvSpPr>
            <xdr:cNvPr id="1116" name="OptionButton1" hidden="1">
              <a:extLst>
                <a:ext uri="{63B3BB69-23CF-44E3-9099-C40C66FF867C}">
                  <a14:compatExt spid="_x0000_s1116"/>
                </a:ext>
                <a:ext uri="{FF2B5EF4-FFF2-40B4-BE49-F238E27FC236}">
                  <a16:creationId xmlns:a16="http://schemas.microsoft.com/office/drawing/2014/main" id="{00000000-0008-0000-0000-00005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625475</xdr:colOff>
      <xdr:row>7</xdr:row>
      <xdr:rowOff>47625</xdr:rowOff>
    </xdr:from>
    <xdr:to>
      <xdr:col>5</xdr:col>
      <xdr:colOff>100917</xdr:colOff>
      <xdr:row>8</xdr:row>
      <xdr:rowOff>276176</xdr:rowOff>
    </xdr:to>
    <xdr:pic macro="[0]!Kommentar">
      <xdr:nvPicPr>
        <xdr:cNvPr id="5" name="Grafik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97475" y="479425"/>
          <a:ext cx="415242" cy="387301"/>
        </a:xfrm>
        <a:prstGeom prst="rect">
          <a:avLst/>
        </a:prstGeom>
      </xdr:spPr>
    </xdr:pic>
    <xdr:clientData/>
  </xdr:twoCellAnchor>
  <xdr:twoCellAnchor>
    <xdr:from>
      <xdr:col>2</xdr:col>
      <xdr:colOff>1143000</xdr:colOff>
      <xdr:row>7</xdr:row>
      <xdr:rowOff>50800</xdr:rowOff>
    </xdr:from>
    <xdr:to>
      <xdr:col>3</xdr:col>
      <xdr:colOff>399143</xdr:colOff>
      <xdr:row>9</xdr:row>
      <xdr:rowOff>12034</xdr:rowOff>
    </xdr:to>
    <xdr:grpSp>
      <xdr:nvGrpSpPr>
        <xdr:cNvPr id="8" name="Gruppieren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2875643" y="486229"/>
          <a:ext cx="1043214" cy="478305"/>
          <a:chOff x="1047750" y="878889"/>
          <a:chExt cx="3524250" cy="1580226"/>
        </a:xfrm>
      </xdr:grpSpPr>
      <xdr:pic macro="[0]!Makro6">
        <xdr:nvPicPr>
          <xdr:cNvPr id="9" name="Grafik 8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 cstate="print">
            <a:lum bright="70000" contrast="-70000"/>
            <a:extLst>
              <a:ext uri="{BEBA8EAE-BF5A-486C-A8C5-ECC9F3942E4B}">
                <a14:imgProps xmlns:a14="http://schemas.microsoft.com/office/drawing/2010/main">
                  <a14:imgLayer r:embed="rId3">
                    <a14:imgEffect>
                      <a14:backgroundRemoval t="12782" b="83083" l="0" r="100000">
                        <a14:backgroundMark x1="1892" y1="51128" x2="1892" y2="75940"/>
                        <a14:backgroundMark x1="9189" y1="72932" x2="9459" y2="62782"/>
                        <a14:backgroundMark x1="11892" y1="48496" x2="14865" y2="73684"/>
                        <a14:backgroundMark x1="9730" y1="59023" x2="9459" y2="62782"/>
                        <a14:backgroundMark x1="24595" y1="42105" x2="28649" y2="69173"/>
                        <a14:backgroundMark x1="21622" y1="54135" x2="21892" y2="71805"/>
                        <a14:backgroundMark x1="65676" y1="51880" x2="64595" y2="69173"/>
                        <a14:backgroundMark x1="68649" y1="42105" x2="71622" y2="69925"/>
                        <a14:backgroundMark x1="78378" y1="55639" x2="77568" y2="71053"/>
                        <a14:backgroundMark x1="81622" y1="46617" x2="84595" y2="74436"/>
                        <a14:backgroundMark x1="92973" y1="49248" x2="95405" y2="74436"/>
                        <a14:backgroundMark x1="90541" y1="61654" x2="90000" y2="71805"/>
                        <a14:backgroundMark x1="90541" y1="60526" x2="90541" y2="60526"/>
                      </a14:backgroundRemoval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t="21472" b="16158"/>
          <a:stretch/>
        </xdr:blipFill>
        <xdr:spPr>
          <a:xfrm>
            <a:off x="1047750" y="878889"/>
            <a:ext cx="3524250" cy="1580226"/>
          </a:xfrm>
          <a:prstGeom prst="rect">
            <a:avLst/>
          </a:prstGeom>
        </xdr:spPr>
      </xdr:pic>
      <xdr:pic macro="[0]!Makro6">
        <xdr:nvPicPr>
          <xdr:cNvPr id="10" name="Grafik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4" cstate="print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8670" t="21472" r="55964" b="30933"/>
          <a:stretch/>
        </xdr:blipFill>
        <xdr:spPr>
          <a:xfrm>
            <a:off x="2050742" y="878889"/>
            <a:ext cx="541538" cy="1205884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495928</xdr:colOff>
      <xdr:row>7</xdr:row>
      <xdr:rowOff>82307</xdr:rowOff>
    </xdr:from>
    <xdr:to>
      <xdr:col>2</xdr:col>
      <xdr:colOff>836249</xdr:colOff>
      <xdr:row>8</xdr:row>
      <xdr:rowOff>253458</xdr:rowOff>
    </xdr:to>
    <xdr:pic macro="[0]!LotusMailSenden">
      <xdr:nvPicPr>
        <xdr:cNvPr id="4" name="Grafik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228571" y="517736"/>
          <a:ext cx="340321" cy="334436"/>
        </a:xfrm>
        <a:prstGeom prst="rect">
          <a:avLst/>
        </a:prstGeom>
      </xdr:spPr>
    </xdr:pic>
    <xdr:clientData/>
  </xdr:twoCellAnchor>
  <xdr:twoCellAnchor editAs="oneCell">
    <xdr:from>
      <xdr:col>0</xdr:col>
      <xdr:colOff>198210</xdr:colOff>
      <xdr:row>7</xdr:row>
      <xdr:rowOff>20750</xdr:rowOff>
    </xdr:from>
    <xdr:to>
      <xdr:col>1</xdr:col>
      <xdr:colOff>107448</xdr:colOff>
      <xdr:row>8</xdr:row>
      <xdr:rowOff>249301</xdr:rowOff>
    </xdr:to>
    <xdr:pic macro="[0]!te">
      <xdr:nvPicPr>
        <xdr:cNvPr id="11" name="Grafik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98210" y="456179"/>
          <a:ext cx="380952" cy="391836"/>
        </a:xfrm>
        <a:prstGeom prst="rect">
          <a:avLst/>
        </a:prstGeom>
      </xdr:spPr>
    </xdr:pic>
    <xdr:clientData/>
  </xdr:twoCellAnchor>
  <xdr:twoCellAnchor editAs="oneCell">
    <xdr:from>
      <xdr:col>1</xdr:col>
      <xdr:colOff>255702</xdr:colOff>
      <xdr:row>7</xdr:row>
      <xdr:rowOff>55639</xdr:rowOff>
    </xdr:from>
    <xdr:to>
      <xdr:col>1</xdr:col>
      <xdr:colOff>661308</xdr:colOff>
      <xdr:row>8</xdr:row>
      <xdr:rowOff>265143</xdr:rowOff>
    </xdr:to>
    <xdr:pic>
      <xdr:nvPicPr>
        <xdr:cNvPr id="12" name="Grafik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27416" y="491068"/>
          <a:ext cx="405606" cy="372789"/>
        </a:xfrm>
        <a:prstGeom prst="rect">
          <a:avLst/>
        </a:prstGeom>
      </xdr:spPr>
    </xdr:pic>
    <xdr:clientData/>
  </xdr:twoCellAnchor>
  <xdr:twoCellAnchor editAs="oneCell">
    <xdr:from>
      <xdr:col>1</xdr:col>
      <xdr:colOff>806451</xdr:colOff>
      <xdr:row>7</xdr:row>
      <xdr:rowOff>42862</xdr:rowOff>
    </xdr:from>
    <xdr:to>
      <xdr:col>1</xdr:col>
      <xdr:colOff>1225551</xdr:colOff>
      <xdr:row>8</xdr:row>
      <xdr:rowOff>261889</xdr:rowOff>
    </xdr:to>
    <xdr:pic>
      <xdr:nvPicPr>
        <xdr:cNvPr id="13" name="Grafik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278165" y="478291"/>
          <a:ext cx="419100" cy="38231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850900</xdr:colOff>
          <xdr:row>7</xdr:row>
          <xdr:rowOff>114300</xdr:rowOff>
        </xdr:from>
        <xdr:to>
          <xdr:col>16</xdr:col>
          <xdr:colOff>128815</xdr:colOff>
          <xdr:row>8</xdr:row>
          <xdr:rowOff>165100</xdr:rowOff>
        </xdr:to>
        <xdr:sp macro="" textlink="">
          <xdr:nvSpPr>
            <xdr:cNvPr id="1123" name="CheckBox1" hidden="1">
              <a:extLst>
                <a:ext uri="{63B3BB69-23CF-44E3-9099-C40C66FF867C}">
                  <a14:compatExt spid="_x0000_s1123"/>
                </a:ext>
                <a:ext uri="{FF2B5EF4-FFF2-40B4-BE49-F238E27FC236}">
                  <a16:creationId xmlns:a16="http://schemas.microsoft.com/office/drawing/2014/main" id="{00000000-0008-0000-0000-00006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BucketList" displayName="BucketList" ref="B99:C106" totalsRowShown="0">
  <autoFilter ref="B99:C106" xr:uid="{00000000-0009-0000-0100-000002000000}"/>
  <tableColumns count="2">
    <tableColumn id="1" xr3:uid="{00000000-0010-0000-0000-000001000000}" name="Done" dataDxfId="58"/>
    <tableColumn id="2" xr3:uid="{00000000-0010-0000-0000-000002000000}" name="Task" dataDxfId="57"/>
  </tableColumns>
  <tableStyleInfo name="Table Style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BucketListProgress" displayName="BucketListProgress" ref="S99:T106" totalsRowShown="0">
  <autoFilter ref="S99:T106" xr:uid="{00000000-0009-0000-0100-000003000000}"/>
  <tableColumns count="2">
    <tableColumn id="1" xr3:uid="{00000000-0010-0000-0100-000001000000}" name="Done" dataDxfId="56"/>
    <tableColumn id="2" xr3:uid="{00000000-0010-0000-0100-000002000000}" name="Task" dataDxfId="55"/>
  </tableColumns>
  <tableStyleInfo name="Table Style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BucketListBasic" displayName="BucketListBasic" ref="P99:Q106" totalsRowShown="0">
  <autoFilter ref="P99:Q106" xr:uid="{00000000-0009-0000-0100-000004000000}"/>
  <tableColumns count="2">
    <tableColumn id="1" xr3:uid="{00000000-0010-0000-0200-000001000000}" name="Done" dataDxfId="54"/>
    <tableColumn id="2" xr3:uid="{00000000-0010-0000-0200-000002000000}" name="Task" dataDxfId="53"/>
  </tableColumns>
  <tableStyleInfo name="Table Style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3000000}" name="Expenses" displayName="Expenses" ref="A10:Z36" totalsRowShown="0" headerRowDxfId="52" headerRowBorderDxfId="51" tableBorderDxfId="50" totalsRowBorderDxfId="49">
  <autoFilter ref="A10:Z36" xr:uid="{00000000-0009-0000-0100-000006000000}"/>
  <tableColumns count="26">
    <tableColumn id="1" xr3:uid="{00000000-0010-0000-0300-000001000000}" name="Nr" dataDxfId="48"/>
    <tableColumn id="2" xr3:uid="{00000000-0010-0000-0300-000002000000}" name="Task" dataDxfId="47"/>
    <tableColumn id="3" xr3:uid="{00000000-0010-0000-0300-000003000000}" name="Details" dataDxfId="46"/>
    <tableColumn id="4" xr3:uid="{00000000-0010-0000-0300-000004000000}" name="Ticketnr" dataDxfId="45"/>
    <tableColumn id="5" xr3:uid="{00000000-0010-0000-0300-000005000000}" name="Effort estimation" dataDxfId="44"/>
    <tableColumn id="7" xr3:uid="{00000000-0010-0000-0300-000007000000}" name="Comments" dataDxfId="43"/>
    <tableColumn id="26" xr3:uid="{00000000-0010-0000-0300-00001A000000}" name="Decision for next JF" dataDxfId="42"/>
    <tableColumn id="20" xr3:uid="{00000000-0010-0000-0300-000014000000}" name="Recipient" dataDxfId="41"/>
    <tableColumn id="6" xr3:uid="{00000000-0010-0000-0300-000006000000}" name="Responsible" dataDxfId="40"/>
    <tableColumn id="25" xr3:uid="{00000000-0010-0000-0300-000019000000}" name="Department" dataDxfId="39"/>
    <tableColumn id="24" xr3:uid="{00000000-0010-0000-0300-000018000000}" name="Category" dataDxfId="38"/>
    <tableColumn id="23" xr3:uid="{00000000-0010-0000-0300-000017000000}" name="Tool" dataDxfId="37"/>
    <tableColumn id="22" xr3:uid="{00000000-0010-0000-0300-000016000000}" name="Current status:" dataDxfId="36"/>
    <tableColumn id="8" xr3:uid="{00000000-0010-0000-0300-000008000000}" name="next step" dataDxfId="35"/>
    <tableColumn id="9" xr3:uid="{00000000-0010-0000-0300-000009000000}" name="until" dataDxfId="34"/>
    <tableColumn id="10" xr3:uid="{00000000-0010-0000-0300-00000A000000}" name="Prio" dataDxfId="33"/>
    <tableColumn id="11" xr3:uid="{00000000-0010-0000-0300-00000B000000}" name="Start" dataDxfId="32"/>
    <tableColumn id="12" xr3:uid="{00000000-0010-0000-0300-00000C000000}" name="End" dataDxfId="31"/>
    <tableColumn id="13" xr3:uid="{00000000-0010-0000-0300-00000D000000}" name="Duration days" dataDxfId="30">
      <calculatedColumnFormula>IF(R11-Q11=0,1,R11-Q11)</calculatedColumnFormula>
    </tableColumn>
    <tableColumn id="14" xr3:uid="{00000000-0010-0000-0300-00000E000000}" name="%" dataDxfId="29"/>
    <tableColumn id="15" xr3:uid="{00000000-0010-0000-0300-00000F000000}" name="178" dataDxfId="28">
      <calculatedColumnFormula>NETWORKDAYS(Q11,R11)</calculatedColumnFormula>
    </tableColumn>
    <tableColumn id="16" xr3:uid="{00000000-0010-0000-0300-000010000000}" name="140" dataDxfId="27">
      <calculatedColumnFormula>ROUNDDOWN(T11*S11,0)</calculatedColumnFormula>
    </tableColumn>
    <tableColumn id="17" xr3:uid="{00000000-0010-0000-0300-000011000000}" name="110" dataDxfId="26">
      <calculatedColumnFormula>S11-V11</calculatedColumnFormula>
    </tableColumn>
    <tableColumn id="18" xr3:uid="{00000000-0010-0000-0300-000012000000}" name="Filter" dataDxfId="25">
      <calculatedColumnFormula>IF(Expenses[[#This Row],[%]]=1,"ja","nein")</calculatedColumnFormula>
    </tableColumn>
    <tableColumn id="19" xr3:uid="{00000000-0010-0000-0300-000013000000}" name="ID" dataDxfId="24"/>
    <tableColumn id="21" xr3:uid="{00000000-0010-0000-0300-000015000000}" name="Spalte1" dataDxfId="23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4000000}" name="Staff" displayName="Staff" ref="A1:A6" totalsRowShown="0">
  <autoFilter ref="A1:A6" xr:uid="{00000000-0009-0000-0100-000007000000}"/>
  <tableColumns count="1">
    <tableColumn id="1" xr3:uid="{00000000-0010-0000-0400-000001000000}" name="VA"/>
  </tableColumns>
  <tableStyleInfo name="Travel Expense Report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5000000}" name="Clients" displayName="Clients" ref="C1:C25" totalsRowShown="0">
  <autoFilter ref="C1:C25" xr:uid="{00000000-0009-0000-0100-000008000000}"/>
  <sortState xmlns:xlrd2="http://schemas.microsoft.com/office/spreadsheetml/2017/richdata2" ref="C2:C10">
    <sortCondition descending="1" ref="C1:C10"/>
  </sortState>
  <tableColumns count="1">
    <tableColumn id="1" xr3:uid="{00000000-0010-0000-0500-000001000000}" name="Kategorien" dataDxfId="22"/>
  </tableColumns>
  <tableStyleInfo name="Travel Expense Report 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6000000}" name="Tabelle1" displayName="Tabelle1" ref="F1:F4" totalsRowShown="0">
  <autoFilter ref="F1:F4" xr:uid="{00000000-0009-0000-0100-000001000000}"/>
  <tableColumns count="1">
    <tableColumn id="1" xr3:uid="{00000000-0010-0000-0600-000001000000}" name="Phase"/>
  </tableColumns>
  <tableStyleInfo name="Table Style 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table" Target="../tables/table1.xml"/><Relationship Id="rId5" Type="http://schemas.openxmlformats.org/officeDocument/2006/relationships/image" Target="../media/image1.emf"/><Relationship Id="rId15" Type="http://schemas.openxmlformats.org/officeDocument/2006/relationships/comments" Target="../comments1.xml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JE707"/>
  <sheetViews>
    <sheetView showGridLines="0" tabSelected="1" zoomScale="70" zoomScaleNormal="70" workbookViewId="0">
      <pane ySplit="10" topLeftCell="A11" activePane="bottomLeft" state="frozen"/>
      <selection pane="bottomLeft" activeCell="Q17" sqref="Q17"/>
    </sheetView>
  </sheetViews>
  <sheetFormatPr defaultColWidth="10.1796875" defaultRowHeight="14.5" outlineLevelRow="2" outlineLevelCol="1" x14ac:dyDescent="0.35"/>
  <cols>
    <col min="1" max="1" width="6.7265625" style="33" bestFit="1" customWidth="1"/>
    <col min="2" max="2" width="18" customWidth="1"/>
    <col min="3" max="3" width="25.54296875" style="44" bestFit="1" customWidth="1"/>
    <col min="4" max="4" width="13.453125" customWidth="1"/>
    <col min="5" max="5" width="31.54296875" hidden="1" customWidth="1"/>
    <col min="6" max="6" width="12.7265625" customWidth="1"/>
    <col min="7" max="7" width="6.26953125" hidden="1" customWidth="1"/>
    <col min="8" max="8" width="9.453125" style="97" customWidth="1"/>
    <col min="9" max="10" width="6.1796875" hidden="1" customWidth="1"/>
    <col min="11" max="11" width="5.81640625" hidden="1" customWidth="1"/>
    <col min="12" max="12" width="4.453125" style="115" hidden="1" customWidth="1"/>
    <col min="13" max="13" width="21.26953125" style="97" hidden="1" customWidth="1"/>
    <col min="14" max="14" width="9.1796875" hidden="1" customWidth="1"/>
    <col min="15" max="15" width="8.1796875" hidden="1" customWidth="1"/>
    <col min="16" max="16" width="6.7265625" customWidth="1"/>
    <col min="17" max="17" width="11.54296875" bestFit="1" customWidth="1"/>
    <col min="18" max="18" width="9.453125" customWidth="1"/>
    <col min="19" max="19" width="16.26953125" customWidth="1" outlineLevel="1"/>
    <col min="20" max="20" width="10.1796875" bestFit="1" customWidth="1"/>
    <col min="21" max="21" width="15.54296875" hidden="1" customWidth="1" outlineLevel="1"/>
    <col min="22" max="23" width="8.1796875" hidden="1" customWidth="1" outlineLevel="1"/>
    <col min="24" max="25" width="0.7265625" hidden="1" customWidth="1" outlineLevel="1"/>
    <col min="26" max="26" width="0.7265625" customWidth="1" outlineLevel="1"/>
    <col min="27" max="27" width="5.81640625" bestFit="1" customWidth="1"/>
    <col min="28" max="47" width="5.54296875" bestFit="1" customWidth="1"/>
    <col min="48" max="56" width="4.54296875" bestFit="1" customWidth="1"/>
    <col min="57" max="77" width="5.54296875" bestFit="1" customWidth="1"/>
    <col min="78" max="86" width="4.54296875" bestFit="1" customWidth="1"/>
    <col min="87" max="108" width="5.54296875" bestFit="1" customWidth="1"/>
    <col min="109" max="117" width="3.453125" bestFit="1" customWidth="1"/>
    <col min="118" max="139" width="4.54296875" bestFit="1" customWidth="1"/>
    <col min="140" max="148" width="3.453125" bestFit="1" customWidth="1"/>
    <col min="149" max="167" width="4.54296875" bestFit="1" customWidth="1"/>
    <col min="168" max="176" width="3.453125" bestFit="1" customWidth="1"/>
    <col min="177" max="198" width="4.54296875" bestFit="1" customWidth="1"/>
    <col min="199" max="207" width="3.453125" bestFit="1" customWidth="1"/>
    <col min="208" max="228" width="4.54296875" bestFit="1" customWidth="1"/>
    <col min="229" max="237" width="3.453125" bestFit="1" customWidth="1"/>
    <col min="238" max="259" width="4.54296875" bestFit="1" customWidth="1"/>
    <col min="260" max="261" width="3.453125" bestFit="1" customWidth="1"/>
    <col min="262" max="268" width="0.7265625" customWidth="1"/>
  </cols>
  <sheetData>
    <row r="1" spans="1:265" ht="15" customHeight="1" x14ac:dyDescent="0.35">
      <c r="A1" s="157" t="s">
        <v>42</v>
      </c>
      <c r="B1" s="157"/>
      <c r="C1" s="157"/>
      <c r="D1" s="157"/>
      <c r="E1" s="157"/>
      <c r="F1" s="75"/>
      <c r="G1" s="75"/>
      <c r="H1" s="95"/>
      <c r="I1" s="75"/>
      <c r="J1" s="75"/>
      <c r="K1" s="75"/>
      <c r="L1" s="95"/>
      <c r="M1" s="95"/>
      <c r="N1" s="75"/>
      <c r="O1" s="75"/>
      <c r="P1" s="75"/>
      <c r="Q1" s="125">
        <f ca="1">TODAY()</f>
        <v>44854</v>
      </c>
      <c r="R1" s="75"/>
      <c r="S1" s="75"/>
      <c r="T1" s="75"/>
      <c r="U1" s="75"/>
      <c r="V1" s="75"/>
      <c r="W1" s="27"/>
      <c r="X1" s="145">
        <v>19</v>
      </c>
      <c r="Y1" s="7"/>
    </row>
    <row r="2" spans="1:265" ht="19.149999999999999" customHeight="1" x14ac:dyDescent="0.35">
      <c r="A2" s="157"/>
      <c r="B2" s="157"/>
      <c r="C2" s="157"/>
      <c r="D2" s="157"/>
      <c r="E2" s="157"/>
      <c r="F2" s="75"/>
      <c r="G2" s="80"/>
      <c r="H2" s="96"/>
      <c r="I2" s="80"/>
      <c r="J2" s="80"/>
      <c r="K2" s="80"/>
      <c r="L2" s="96"/>
      <c r="M2" s="96"/>
      <c r="N2" s="80"/>
      <c r="O2" s="80"/>
      <c r="P2" s="80"/>
      <c r="Q2" s="80"/>
      <c r="R2" s="80"/>
      <c r="S2" s="75"/>
      <c r="T2" s="75"/>
      <c r="U2" s="75"/>
      <c r="V2" s="75"/>
      <c r="W2" s="27"/>
      <c r="X2" s="68"/>
    </row>
    <row r="3" spans="1:265" hidden="1" outlineLevel="1" x14ac:dyDescent="0.35">
      <c r="T3" s="26">
        <f>MONTH(T4)</f>
        <v>12</v>
      </c>
      <c r="U3" s="24">
        <f ca="1">U4+28</f>
        <v>44882</v>
      </c>
      <c r="X3" s="68"/>
    </row>
    <row r="4" spans="1:265" hidden="1" outlineLevel="1" x14ac:dyDescent="0.35">
      <c r="A4" s="109"/>
      <c r="Q4" s="94">
        <v>44679</v>
      </c>
      <c r="R4" s="94">
        <v>44854</v>
      </c>
      <c r="S4" s="24"/>
      <c r="T4" s="69">
        <v>42716</v>
      </c>
      <c r="U4" s="155">
        <f ca="1">TODAY()</f>
        <v>44854</v>
      </c>
      <c r="V4" s="155"/>
      <c r="W4" s="155"/>
      <c r="X4" s="9" t="str">
        <f ca="1">TEXT(U4,"day")</f>
        <v>day</v>
      </c>
      <c r="Y4" s="9"/>
    </row>
    <row r="5" spans="1:265" hidden="1" outlineLevel="1" x14ac:dyDescent="0.35">
      <c r="U5" s="10" t="s">
        <v>15</v>
      </c>
      <c r="X5" s="68"/>
    </row>
    <row r="6" spans="1:265" hidden="1" outlineLevel="1" x14ac:dyDescent="0.35">
      <c r="B6" s="8"/>
      <c r="C6" s="45"/>
      <c r="D6" s="77" t="s">
        <v>43</v>
      </c>
      <c r="E6" s="77"/>
      <c r="F6" s="77"/>
      <c r="G6" s="77"/>
      <c r="H6" s="98"/>
      <c r="I6" s="77"/>
      <c r="J6" s="77"/>
      <c r="K6" s="77"/>
      <c r="L6" s="116"/>
      <c r="M6" s="98"/>
      <c r="N6" s="77"/>
      <c r="O6" s="77"/>
      <c r="P6" s="77"/>
      <c r="Q6" s="77"/>
      <c r="R6" s="77"/>
      <c r="V6">
        <v>42737</v>
      </c>
      <c r="X6" s="68"/>
      <c r="Y6">
        <v>696</v>
      </c>
      <c r="Z6">
        <v>42762</v>
      </c>
    </row>
    <row r="7" spans="1:265" hidden="1" outlineLevel="1" x14ac:dyDescent="0.35">
      <c r="B7" s="8"/>
      <c r="C7" s="45"/>
      <c r="D7" s="34">
        <f>SUBTOTAL(105,Q11:Q36)</f>
        <v>44713</v>
      </c>
      <c r="E7" s="23"/>
      <c r="F7" s="23"/>
      <c r="G7" s="23"/>
      <c r="H7" s="99"/>
      <c r="I7" s="23"/>
      <c r="J7" s="23"/>
      <c r="K7" s="23"/>
      <c r="L7" s="117"/>
      <c r="M7" s="99"/>
      <c r="N7" s="23"/>
      <c r="O7" s="23"/>
      <c r="P7" s="22"/>
      <c r="Q7" s="22"/>
      <c r="R7" s="11"/>
      <c r="X7" s="68"/>
      <c r="Y7">
        <v>697</v>
      </c>
      <c r="Z7" s="24">
        <f>(D7-WEEKDAY(D7,1)+X8)+7*X1</f>
        <v>44844</v>
      </c>
      <c r="AA7">
        <f>(D7-WEEKDAY(D7,1)+Z8)+7*Z1</f>
        <v>89553</v>
      </c>
    </row>
    <row r="8" spans="1:265" ht="12.75" customHeight="1" collapsed="1" x14ac:dyDescent="0.35">
      <c r="A8" s="110"/>
      <c r="H8" s="158" t="s">
        <v>25</v>
      </c>
      <c r="I8" s="26" t="s">
        <v>34</v>
      </c>
      <c r="J8" s="26"/>
      <c r="K8" s="26"/>
      <c r="O8" s="62">
        <v>44743</v>
      </c>
      <c r="P8" s="62">
        <v>44854</v>
      </c>
      <c r="R8" s="62">
        <v>42825</v>
      </c>
      <c r="S8" s="148">
        <v>44679</v>
      </c>
      <c r="T8" s="62">
        <v>42705</v>
      </c>
      <c r="U8" s="25">
        <v>42735</v>
      </c>
      <c r="V8" s="25">
        <v>42736</v>
      </c>
      <c r="W8" s="70">
        <v>42751</v>
      </c>
      <c r="X8" s="146">
        <v>2</v>
      </c>
      <c r="Y8" s="12"/>
      <c r="Z8" s="28">
        <f>+Z7</f>
        <v>44844</v>
      </c>
      <c r="AA8" s="28">
        <f t="shared" ref="AA8:AN8" si="0">Z8+1</f>
        <v>44845</v>
      </c>
      <c r="AB8" s="28">
        <f t="shared" si="0"/>
        <v>44846</v>
      </c>
      <c r="AC8" s="28">
        <f t="shared" si="0"/>
        <v>44847</v>
      </c>
      <c r="AD8" s="28">
        <f t="shared" si="0"/>
        <v>44848</v>
      </c>
      <c r="AE8" s="28">
        <f t="shared" si="0"/>
        <v>44849</v>
      </c>
      <c r="AF8" s="28">
        <f t="shared" si="0"/>
        <v>44850</v>
      </c>
      <c r="AG8" s="28">
        <f t="shared" si="0"/>
        <v>44851</v>
      </c>
      <c r="AH8" s="28">
        <f t="shared" si="0"/>
        <v>44852</v>
      </c>
      <c r="AI8" s="28">
        <f t="shared" si="0"/>
        <v>44853</v>
      </c>
      <c r="AJ8" s="28">
        <f t="shared" si="0"/>
        <v>44854</v>
      </c>
      <c r="AK8" s="28">
        <f t="shared" si="0"/>
        <v>44855</v>
      </c>
      <c r="AL8" s="28">
        <f t="shared" si="0"/>
        <v>44856</v>
      </c>
      <c r="AM8" s="28">
        <f t="shared" si="0"/>
        <v>44857</v>
      </c>
      <c r="AN8" s="28">
        <f t="shared" si="0"/>
        <v>44858</v>
      </c>
      <c r="AO8" s="28">
        <f t="shared" ref="AO8:CL8" si="1">AN8+1</f>
        <v>44859</v>
      </c>
      <c r="AP8" s="28">
        <f t="shared" si="1"/>
        <v>44860</v>
      </c>
      <c r="AQ8" s="28">
        <f t="shared" si="1"/>
        <v>44861</v>
      </c>
      <c r="AR8" s="28">
        <f t="shared" si="1"/>
        <v>44862</v>
      </c>
      <c r="AS8" s="28">
        <f t="shared" si="1"/>
        <v>44863</v>
      </c>
      <c r="AT8" s="28">
        <f t="shared" si="1"/>
        <v>44864</v>
      </c>
      <c r="AU8" s="28">
        <f t="shared" si="1"/>
        <v>44865</v>
      </c>
      <c r="AV8" s="28">
        <f t="shared" si="1"/>
        <v>44866</v>
      </c>
      <c r="AW8" s="28">
        <f t="shared" si="1"/>
        <v>44867</v>
      </c>
      <c r="AX8" s="28">
        <f t="shared" si="1"/>
        <v>44868</v>
      </c>
      <c r="AY8" s="28">
        <f t="shared" si="1"/>
        <v>44869</v>
      </c>
      <c r="AZ8" s="28">
        <f t="shared" si="1"/>
        <v>44870</v>
      </c>
      <c r="BA8" s="28">
        <f t="shared" si="1"/>
        <v>44871</v>
      </c>
      <c r="BB8" s="28">
        <f t="shared" si="1"/>
        <v>44872</v>
      </c>
      <c r="BC8" s="28">
        <f t="shared" si="1"/>
        <v>44873</v>
      </c>
      <c r="BD8" s="28">
        <f t="shared" si="1"/>
        <v>44874</v>
      </c>
      <c r="BE8" s="28">
        <f t="shared" si="1"/>
        <v>44875</v>
      </c>
      <c r="BF8" s="28">
        <f t="shared" si="1"/>
        <v>44876</v>
      </c>
      <c r="BG8" s="28">
        <f t="shared" si="1"/>
        <v>44877</v>
      </c>
      <c r="BH8" s="28">
        <f t="shared" si="1"/>
        <v>44878</v>
      </c>
      <c r="BI8" s="28">
        <f t="shared" si="1"/>
        <v>44879</v>
      </c>
      <c r="BJ8" s="28">
        <f t="shared" si="1"/>
        <v>44880</v>
      </c>
      <c r="BK8" s="28">
        <f t="shared" si="1"/>
        <v>44881</v>
      </c>
      <c r="BL8" s="28">
        <f t="shared" si="1"/>
        <v>44882</v>
      </c>
      <c r="BM8" s="28">
        <f t="shared" si="1"/>
        <v>44883</v>
      </c>
      <c r="BN8" s="28">
        <f t="shared" si="1"/>
        <v>44884</v>
      </c>
      <c r="BO8" s="28">
        <f t="shared" si="1"/>
        <v>44885</v>
      </c>
      <c r="BP8" s="28">
        <f t="shared" si="1"/>
        <v>44886</v>
      </c>
      <c r="BQ8" s="28">
        <f t="shared" si="1"/>
        <v>44887</v>
      </c>
      <c r="BR8" s="28">
        <f t="shared" si="1"/>
        <v>44888</v>
      </c>
      <c r="BS8" s="28">
        <f t="shared" si="1"/>
        <v>44889</v>
      </c>
      <c r="BT8" s="28">
        <f t="shared" si="1"/>
        <v>44890</v>
      </c>
      <c r="BU8" s="28">
        <f t="shared" si="1"/>
        <v>44891</v>
      </c>
      <c r="BV8" s="28">
        <f t="shared" si="1"/>
        <v>44892</v>
      </c>
      <c r="BW8" s="28">
        <f t="shared" si="1"/>
        <v>44893</v>
      </c>
      <c r="BX8" s="28">
        <f t="shared" si="1"/>
        <v>44894</v>
      </c>
      <c r="BY8" s="28">
        <f t="shared" si="1"/>
        <v>44895</v>
      </c>
      <c r="BZ8" s="28">
        <f t="shared" si="1"/>
        <v>44896</v>
      </c>
      <c r="CA8" s="28">
        <f t="shared" si="1"/>
        <v>44897</v>
      </c>
      <c r="CB8" s="28">
        <f t="shared" si="1"/>
        <v>44898</v>
      </c>
      <c r="CC8" s="28">
        <f t="shared" si="1"/>
        <v>44899</v>
      </c>
      <c r="CD8" s="28">
        <f t="shared" si="1"/>
        <v>44900</v>
      </c>
      <c r="CE8" s="28">
        <f t="shared" si="1"/>
        <v>44901</v>
      </c>
      <c r="CF8" s="28">
        <f t="shared" si="1"/>
        <v>44902</v>
      </c>
      <c r="CG8" s="28">
        <f t="shared" si="1"/>
        <v>44903</v>
      </c>
      <c r="CH8" s="28">
        <f t="shared" si="1"/>
        <v>44904</v>
      </c>
      <c r="CI8" s="28">
        <f t="shared" si="1"/>
        <v>44905</v>
      </c>
      <c r="CJ8" s="28">
        <f t="shared" si="1"/>
        <v>44906</v>
      </c>
      <c r="CK8" s="28">
        <f t="shared" si="1"/>
        <v>44907</v>
      </c>
      <c r="CL8" s="28">
        <f t="shared" si="1"/>
        <v>44908</v>
      </c>
      <c r="CM8" s="28">
        <f t="shared" ref="CM8:EX8" si="2">CL8+1</f>
        <v>44909</v>
      </c>
      <c r="CN8" s="28">
        <f t="shared" si="2"/>
        <v>44910</v>
      </c>
      <c r="CO8" s="28">
        <f t="shared" si="2"/>
        <v>44911</v>
      </c>
      <c r="CP8" s="28">
        <f t="shared" si="2"/>
        <v>44912</v>
      </c>
      <c r="CQ8" s="28">
        <f t="shared" si="2"/>
        <v>44913</v>
      </c>
      <c r="CR8" s="28">
        <f t="shared" si="2"/>
        <v>44914</v>
      </c>
      <c r="CS8" s="28">
        <f t="shared" si="2"/>
        <v>44915</v>
      </c>
      <c r="CT8" s="28">
        <f t="shared" si="2"/>
        <v>44916</v>
      </c>
      <c r="CU8" s="28">
        <f t="shared" si="2"/>
        <v>44917</v>
      </c>
      <c r="CV8" s="28">
        <f t="shared" si="2"/>
        <v>44918</v>
      </c>
      <c r="CW8" s="28">
        <f t="shared" si="2"/>
        <v>44919</v>
      </c>
      <c r="CX8" s="28">
        <f t="shared" si="2"/>
        <v>44920</v>
      </c>
      <c r="CY8" s="28">
        <f t="shared" si="2"/>
        <v>44921</v>
      </c>
      <c r="CZ8" s="28">
        <f t="shared" si="2"/>
        <v>44922</v>
      </c>
      <c r="DA8" s="28">
        <f t="shared" si="2"/>
        <v>44923</v>
      </c>
      <c r="DB8" s="28">
        <f t="shared" si="2"/>
        <v>44924</v>
      </c>
      <c r="DC8" s="28">
        <f t="shared" si="2"/>
        <v>44925</v>
      </c>
      <c r="DD8" s="28">
        <f t="shared" si="2"/>
        <v>44926</v>
      </c>
      <c r="DE8" s="28">
        <f t="shared" si="2"/>
        <v>44927</v>
      </c>
      <c r="DF8" s="28">
        <f t="shared" si="2"/>
        <v>44928</v>
      </c>
      <c r="DG8" s="28">
        <f t="shared" si="2"/>
        <v>44929</v>
      </c>
      <c r="DH8" s="28">
        <f t="shared" si="2"/>
        <v>44930</v>
      </c>
      <c r="DI8" s="28">
        <f t="shared" si="2"/>
        <v>44931</v>
      </c>
      <c r="DJ8" s="28">
        <f t="shared" si="2"/>
        <v>44932</v>
      </c>
      <c r="DK8" s="28">
        <f t="shared" si="2"/>
        <v>44933</v>
      </c>
      <c r="DL8" s="28">
        <f t="shared" si="2"/>
        <v>44934</v>
      </c>
      <c r="DM8" s="28">
        <f t="shared" si="2"/>
        <v>44935</v>
      </c>
      <c r="DN8" s="28">
        <f t="shared" si="2"/>
        <v>44936</v>
      </c>
      <c r="DO8" s="28">
        <f t="shared" si="2"/>
        <v>44937</v>
      </c>
      <c r="DP8" s="28">
        <f t="shared" si="2"/>
        <v>44938</v>
      </c>
      <c r="DQ8" s="28">
        <f t="shared" si="2"/>
        <v>44939</v>
      </c>
      <c r="DR8" s="28">
        <f t="shared" si="2"/>
        <v>44940</v>
      </c>
      <c r="DS8" s="28">
        <f t="shared" si="2"/>
        <v>44941</v>
      </c>
      <c r="DT8" s="28">
        <f t="shared" si="2"/>
        <v>44942</v>
      </c>
      <c r="DU8" s="28">
        <f t="shared" si="2"/>
        <v>44943</v>
      </c>
      <c r="DV8" s="28">
        <f t="shared" si="2"/>
        <v>44944</v>
      </c>
      <c r="DW8" s="28">
        <f t="shared" si="2"/>
        <v>44945</v>
      </c>
      <c r="DX8" s="28">
        <f t="shared" si="2"/>
        <v>44946</v>
      </c>
      <c r="DY8" s="28">
        <f t="shared" si="2"/>
        <v>44947</v>
      </c>
      <c r="DZ8" s="28">
        <f t="shared" si="2"/>
        <v>44948</v>
      </c>
      <c r="EA8" s="28">
        <f t="shared" si="2"/>
        <v>44949</v>
      </c>
      <c r="EB8" s="28">
        <f t="shared" si="2"/>
        <v>44950</v>
      </c>
      <c r="EC8" s="28">
        <f t="shared" si="2"/>
        <v>44951</v>
      </c>
      <c r="ED8" s="28">
        <f t="shared" si="2"/>
        <v>44952</v>
      </c>
      <c r="EE8" s="28">
        <f t="shared" si="2"/>
        <v>44953</v>
      </c>
      <c r="EF8" s="28">
        <f t="shared" si="2"/>
        <v>44954</v>
      </c>
      <c r="EG8" s="28">
        <f t="shared" si="2"/>
        <v>44955</v>
      </c>
      <c r="EH8" s="28">
        <f t="shared" si="2"/>
        <v>44956</v>
      </c>
      <c r="EI8" s="28">
        <f t="shared" si="2"/>
        <v>44957</v>
      </c>
      <c r="EJ8" s="28">
        <f t="shared" si="2"/>
        <v>44958</v>
      </c>
      <c r="EK8" s="28">
        <f t="shared" si="2"/>
        <v>44959</v>
      </c>
      <c r="EL8" s="28">
        <f t="shared" si="2"/>
        <v>44960</v>
      </c>
      <c r="EM8" s="28">
        <f t="shared" si="2"/>
        <v>44961</v>
      </c>
      <c r="EN8" s="28">
        <f t="shared" si="2"/>
        <v>44962</v>
      </c>
      <c r="EO8" s="28">
        <f t="shared" si="2"/>
        <v>44963</v>
      </c>
      <c r="EP8" s="28">
        <f t="shared" si="2"/>
        <v>44964</v>
      </c>
      <c r="EQ8" s="28">
        <f t="shared" si="2"/>
        <v>44965</v>
      </c>
      <c r="ER8" s="28">
        <f t="shared" si="2"/>
        <v>44966</v>
      </c>
      <c r="ES8" s="28">
        <f t="shared" si="2"/>
        <v>44967</v>
      </c>
      <c r="ET8" s="28">
        <f t="shared" si="2"/>
        <v>44968</v>
      </c>
      <c r="EU8" s="28">
        <f t="shared" si="2"/>
        <v>44969</v>
      </c>
      <c r="EV8" s="28">
        <f t="shared" si="2"/>
        <v>44970</v>
      </c>
      <c r="EW8" s="28">
        <f t="shared" si="2"/>
        <v>44971</v>
      </c>
      <c r="EX8" s="28">
        <f t="shared" si="2"/>
        <v>44972</v>
      </c>
      <c r="EY8" s="28">
        <f t="shared" ref="EY8:HJ8" si="3">EX8+1</f>
        <v>44973</v>
      </c>
      <c r="EZ8" s="28">
        <f t="shared" si="3"/>
        <v>44974</v>
      </c>
      <c r="FA8" s="28">
        <f t="shared" si="3"/>
        <v>44975</v>
      </c>
      <c r="FB8" s="28">
        <f t="shared" si="3"/>
        <v>44976</v>
      </c>
      <c r="FC8" s="28">
        <f t="shared" si="3"/>
        <v>44977</v>
      </c>
      <c r="FD8" s="28">
        <f t="shared" si="3"/>
        <v>44978</v>
      </c>
      <c r="FE8" s="28">
        <f t="shared" si="3"/>
        <v>44979</v>
      </c>
      <c r="FF8" s="28">
        <f t="shared" si="3"/>
        <v>44980</v>
      </c>
      <c r="FG8" s="28">
        <f t="shared" si="3"/>
        <v>44981</v>
      </c>
      <c r="FH8" s="28">
        <f t="shared" si="3"/>
        <v>44982</v>
      </c>
      <c r="FI8" s="28">
        <f t="shared" si="3"/>
        <v>44983</v>
      </c>
      <c r="FJ8" s="28">
        <f t="shared" si="3"/>
        <v>44984</v>
      </c>
      <c r="FK8" s="28">
        <f t="shared" si="3"/>
        <v>44985</v>
      </c>
      <c r="FL8" s="28">
        <f t="shared" si="3"/>
        <v>44986</v>
      </c>
      <c r="FM8" s="28">
        <f t="shared" si="3"/>
        <v>44987</v>
      </c>
      <c r="FN8" s="28">
        <f t="shared" si="3"/>
        <v>44988</v>
      </c>
      <c r="FO8" s="28">
        <f t="shared" si="3"/>
        <v>44989</v>
      </c>
      <c r="FP8" s="28">
        <f t="shared" si="3"/>
        <v>44990</v>
      </c>
      <c r="FQ8" s="28">
        <f t="shared" si="3"/>
        <v>44991</v>
      </c>
      <c r="FR8" s="28">
        <f t="shared" si="3"/>
        <v>44992</v>
      </c>
      <c r="FS8" s="28">
        <f t="shared" si="3"/>
        <v>44993</v>
      </c>
      <c r="FT8" s="28">
        <f t="shared" si="3"/>
        <v>44994</v>
      </c>
      <c r="FU8" s="28">
        <f t="shared" si="3"/>
        <v>44995</v>
      </c>
      <c r="FV8" s="28">
        <f t="shared" si="3"/>
        <v>44996</v>
      </c>
      <c r="FW8" s="28">
        <f t="shared" si="3"/>
        <v>44997</v>
      </c>
      <c r="FX8" s="28">
        <f t="shared" si="3"/>
        <v>44998</v>
      </c>
      <c r="FY8" s="28">
        <f t="shared" si="3"/>
        <v>44999</v>
      </c>
      <c r="FZ8" s="28">
        <f t="shared" si="3"/>
        <v>45000</v>
      </c>
      <c r="GA8" s="28">
        <f t="shared" si="3"/>
        <v>45001</v>
      </c>
      <c r="GB8" s="28">
        <f t="shared" si="3"/>
        <v>45002</v>
      </c>
      <c r="GC8" s="28">
        <f t="shared" si="3"/>
        <v>45003</v>
      </c>
      <c r="GD8" s="28">
        <f t="shared" si="3"/>
        <v>45004</v>
      </c>
      <c r="GE8" s="28">
        <f t="shared" si="3"/>
        <v>45005</v>
      </c>
      <c r="GF8" s="28">
        <f t="shared" si="3"/>
        <v>45006</v>
      </c>
      <c r="GG8" s="28">
        <f t="shared" si="3"/>
        <v>45007</v>
      </c>
      <c r="GH8" s="28">
        <f t="shared" si="3"/>
        <v>45008</v>
      </c>
      <c r="GI8" s="28">
        <f t="shared" si="3"/>
        <v>45009</v>
      </c>
      <c r="GJ8" s="28">
        <f t="shared" si="3"/>
        <v>45010</v>
      </c>
      <c r="GK8" s="28">
        <f t="shared" si="3"/>
        <v>45011</v>
      </c>
      <c r="GL8" s="28">
        <f t="shared" si="3"/>
        <v>45012</v>
      </c>
      <c r="GM8" s="28">
        <f t="shared" si="3"/>
        <v>45013</v>
      </c>
      <c r="GN8" s="28">
        <f t="shared" si="3"/>
        <v>45014</v>
      </c>
      <c r="GO8" s="28">
        <f t="shared" si="3"/>
        <v>45015</v>
      </c>
      <c r="GP8" s="28">
        <f t="shared" si="3"/>
        <v>45016</v>
      </c>
      <c r="GQ8" s="28">
        <f t="shared" si="3"/>
        <v>45017</v>
      </c>
      <c r="GR8" s="28">
        <f t="shared" si="3"/>
        <v>45018</v>
      </c>
      <c r="GS8" s="28">
        <f t="shared" si="3"/>
        <v>45019</v>
      </c>
      <c r="GT8" s="28">
        <f t="shared" si="3"/>
        <v>45020</v>
      </c>
      <c r="GU8" s="28">
        <f t="shared" si="3"/>
        <v>45021</v>
      </c>
      <c r="GV8" s="28">
        <f t="shared" si="3"/>
        <v>45022</v>
      </c>
      <c r="GW8" s="28">
        <f t="shared" si="3"/>
        <v>45023</v>
      </c>
      <c r="GX8" s="28">
        <f t="shared" si="3"/>
        <v>45024</v>
      </c>
      <c r="GY8" s="28">
        <f t="shared" si="3"/>
        <v>45025</v>
      </c>
      <c r="GZ8" s="28">
        <f t="shared" si="3"/>
        <v>45026</v>
      </c>
      <c r="HA8" s="28">
        <f t="shared" si="3"/>
        <v>45027</v>
      </c>
      <c r="HB8" s="28">
        <f t="shared" si="3"/>
        <v>45028</v>
      </c>
      <c r="HC8" s="28">
        <f t="shared" si="3"/>
        <v>45029</v>
      </c>
      <c r="HD8" s="28">
        <f t="shared" si="3"/>
        <v>45030</v>
      </c>
      <c r="HE8" s="28">
        <f t="shared" si="3"/>
        <v>45031</v>
      </c>
      <c r="HF8" s="28">
        <f t="shared" si="3"/>
        <v>45032</v>
      </c>
      <c r="HG8" s="28">
        <f t="shared" si="3"/>
        <v>45033</v>
      </c>
      <c r="HH8" s="28">
        <f t="shared" si="3"/>
        <v>45034</v>
      </c>
      <c r="HI8" s="28">
        <f t="shared" si="3"/>
        <v>45035</v>
      </c>
      <c r="HJ8" s="28">
        <f t="shared" si="3"/>
        <v>45036</v>
      </c>
      <c r="HK8" s="28">
        <f t="shared" ref="HK8:JC8" si="4">HJ8+1</f>
        <v>45037</v>
      </c>
      <c r="HL8" s="28">
        <f t="shared" si="4"/>
        <v>45038</v>
      </c>
      <c r="HM8" s="28">
        <f t="shared" si="4"/>
        <v>45039</v>
      </c>
      <c r="HN8" s="28">
        <f t="shared" si="4"/>
        <v>45040</v>
      </c>
      <c r="HO8" s="28">
        <f t="shared" si="4"/>
        <v>45041</v>
      </c>
      <c r="HP8" s="28">
        <f t="shared" si="4"/>
        <v>45042</v>
      </c>
      <c r="HQ8" s="28">
        <f t="shared" si="4"/>
        <v>45043</v>
      </c>
      <c r="HR8" s="28">
        <f t="shared" si="4"/>
        <v>45044</v>
      </c>
      <c r="HS8" s="28">
        <f t="shared" si="4"/>
        <v>45045</v>
      </c>
      <c r="HT8" s="28">
        <f t="shared" si="4"/>
        <v>45046</v>
      </c>
      <c r="HU8" s="28">
        <f t="shared" si="4"/>
        <v>45047</v>
      </c>
      <c r="HV8" s="28">
        <f t="shared" si="4"/>
        <v>45048</v>
      </c>
      <c r="HW8" s="28">
        <f t="shared" si="4"/>
        <v>45049</v>
      </c>
      <c r="HX8" s="28">
        <f t="shared" si="4"/>
        <v>45050</v>
      </c>
      <c r="HY8" s="28">
        <f t="shared" si="4"/>
        <v>45051</v>
      </c>
      <c r="HZ8" s="28">
        <f t="shared" si="4"/>
        <v>45052</v>
      </c>
      <c r="IA8" s="28">
        <f t="shared" si="4"/>
        <v>45053</v>
      </c>
      <c r="IB8" s="28">
        <f t="shared" si="4"/>
        <v>45054</v>
      </c>
      <c r="IC8" s="28">
        <f t="shared" si="4"/>
        <v>45055</v>
      </c>
      <c r="ID8" s="28">
        <f t="shared" si="4"/>
        <v>45056</v>
      </c>
      <c r="IE8" s="28">
        <f t="shared" si="4"/>
        <v>45057</v>
      </c>
      <c r="IF8" s="28">
        <f t="shared" si="4"/>
        <v>45058</v>
      </c>
      <c r="IG8" s="28">
        <f t="shared" si="4"/>
        <v>45059</v>
      </c>
      <c r="IH8" s="28">
        <f t="shared" si="4"/>
        <v>45060</v>
      </c>
      <c r="II8" s="28">
        <f t="shared" si="4"/>
        <v>45061</v>
      </c>
      <c r="IJ8" s="28">
        <f t="shared" si="4"/>
        <v>45062</v>
      </c>
      <c r="IK8" s="28">
        <f t="shared" si="4"/>
        <v>45063</v>
      </c>
      <c r="IL8" s="28">
        <f t="shared" si="4"/>
        <v>45064</v>
      </c>
      <c r="IM8" s="28">
        <f t="shared" si="4"/>
        <v>45065</v>
      </c>
      <c r="IN8" s="28">
        <f t="shared" si="4"/>
        <v>45066</v>
      </c>
      <c r="IO8" s="28">
        <f t="shared" si="4"/>
        <v>45067</v>
      </c>
      <c r="IP8" s="28">
        <f t="shared" si="4"/>
        <v>45068</v>
      </c>
      <c r="IQ8" s="28">
        <f t="shared" si="4"/>
        <v>45069</v>
      </c>
      <c r="IR8" s="28">
        <f t="shared" si="4"/>
        <v>45070</v>
      </c>
      <c r="IS8" s="28">
        <f t="shared" si="4"/>
        <v>45071</v>
      </c>
      <c r="IT8" s="28">
        <f t="shared" si="4"/>
        <v>45072</v>
      </c>
      <c r="IU8" s="28">
        <f t="shared" si="4"/>
        <v>45073</v>
      </c>
      <c r="IV8" s="28">
        <f t="shared" si="4"/>
        <v>45074</v>
      </c>
      <c r="IW8" s="28">
        <f t="shared" si="4"/>
        <v>45075</v>
      </c>
      <c r="IX8" s="28">
        <f t="shared" si="4"/>
        <v>45076</v>
      </c>
      <c r="IY8" s="28">
        <f t="shared" si="4"/>
        <v>45077</v>
      </c>
      <c r="IZ8" s="28">
        <f t="shared" si="4"/>
        <v>45078</v>
      </c>
      <c r="JA8" s="28">
        <f t="shared" si="4"/>
        <v>45079</v>
      </c>
      <c r="JB8" s="28">
        <f t="shared" si="4"/>
        <v>45080</v>
      </c>
      <c r="JC8" s="28">
        <f t="shared" si="4"/>
        <v>45081</v>
      </c>
    </row>
    <row r="9" spans="1:265" ht="27.75" customHeight="1" x14ac:dyDescent="0.35">
      <c r="A9" s="111"/>
      <c r="B9" s="35"/>
      <c r="C9" s="46"/>
      <c r="E9" s="71"/>
      <c r="F9" s="43"/>
      <c r="G9" s="144"/>
      <c r="H9" s="61"/>
      <c r="I9" s="61"/>
      <c r="J9" s="61"/>
      <c r="K9" s="61"/>
      <c r="L9" s="118"/>
      <c r="M9" s="61"/>
      <c r="N9" s="61"/>
      <c r="O9" s="37"/>
      <c r="P9" s="36"/>
      <c r="Q9" s="38"/>
      <c r="R9" s="38"/>
      <c r="S9" s="39"/>
      <c r="T9" s="40"/>
      <c r="U9" s="13" t="s">
        <v>11</v>
      </c>
      <c r="V9" s="14" t="s">
        <v>12</v>
      </c>
      <c r="W9" s="14" t="s">
        <v>13</v>
      </c>
      <c r="X9" s="147"/>
      <c r="Y9" s="42"/>
      <c r="Z9" s="156">
        <f>+Z7</f>
        <v>44844</v>
      </c>
      <c r="AA9" s="152"/>
      <c r="AB9" s="152"/>
      <c r="AC9" s="152"/>
      <c r="AD9" s="152"/>
      <c r="AE9" s="152"/>
      <c r="AF9" s="153"/>
      <c r="AG9" s="151">
        <f>AG8</f>
        <v>44851</v>
      </c>
      <c r="AH9" s="152"/>
      <c r="AI9" s="152"/>
      <c r="AJ9" s="152"/>
      <c r="AK9" s="152"/>
      <c r="AL9" s="152"/>
      <c r="AM9" s="153"/>
      <c r="AN9" s="151">
        <f>AN8</f>
        <v>44858</v>
      </c>
      <c r="AO9" s="152"/>
      <c r="AP9" s="152"/>
      <c r="AQ9" s="152"/>
      <c r="AR9" s="152"/>
      <c r="AS9" s="152"/>
      <c r="AT9" s="153"/>
      <c r="AU9" s="151">
        <f>AU8</f>
        <v>44865</v>
      </c>
      <c r="AV9" s="152"/>
      <c r="AW9" s="152"/>
      <c r="AX9" s="152"/>
      <c r="AY9" s="152"/>
      <c r="AZ9" s="152"/>
      <c r="BA9" s="153"/>
      <c r="BB9" s="151">
        <f>BB8</f>
        <v>44872</v>
      </c>
      <c r="BC9" s="152"/>
      <c r="BD9" s="152"/>
      <c r="BE9" s="152"/>
      <c r="BF9" s="152"/>
      <c r="BG9" s="152"/>
      <c r="BH9" s="153"/>
      <c r="BI9" s="151">
        <f>BI8</f>
        <v>44879</v>
      </c>
      <c r="BJ9" s="152"/>
      <c r="BK9" s="152"/>
      <c r="BL9" s="152"/>
      <c r="BM9" s="152"/>
      <c r="BN9" s="152"/>
      <c r="BO9" s="153"/>
      <c r="BP9" s="151">
        <f>BP8</f>
        <v>44886</v>
      </c>
      <c r="BQ9" s="152"/>
      <c r="BR9" s="152"/>
      <c r="BS9" s="152"/>
      <c r="BT9" s="152"/>
      <c r="BU9" s="152"/>
      <c r="BV9" s="153"/>
      <c r="BW9" s="151">
        <f>BW8</f>
        <v>44893</v>
      </c>
      <c r="BX9" s="152"/>
      <c r="BY9" s="152"/>
      <c r="BZ9" s="152"/>
      <c r="CA9" s="152"/>
      <c r="CB9" s="152"/>
      <c r="CC9" s="153"/>
      <c r="CD9" s="151">
        <f>CD8</f>
        <v>44900</v>
      </c>
      <c r="CE9" s="152"/>
      <c r="CF9" s="152"/>
      <c r="CG9" s="152"/>
      <c r="CH9" s="152"/>
      <c r="CI9" s="152"/>
      <c r="CJ9" s="153"/>
      <c r="CK9" s="151">
        <f>CK8</f>
        <v>44907</v>
      </c>
      <c r="CL9" s="152"/>
      <c r="CM9" s="152"/>
      <c r="CN9" s="152"/>
      <c r="CO9" s="152"/>
      <c r="CP9" s="152"/>
      <c r="CQ9" s="153"/>
      <c r="CR9" s="151">
        <f>CR8</f>
        <v>44914</v>
      </c>
      <c r="CS9" s="152"/>
      <c r="CT9" s="152"/>
      <c r="CU9" s="152"/>
      <c r="CV9" s="152"/>
      <c r="CW9" s="152"/>
      <c r="CX9" s="153"/>
      <c r="CY9" s="151">
        <f>CY8</f>
        <v>44921</v>
      </c>
      <c r="CZ9" s="152"/>
      <c r="DA9" s="152"/>
      <c r="DB9" s="152"/>
      <c r="DC9" s="152"/>
      <c r="DD9" s="152"/>
      <c r="DE9" s="153"/>
      <c r="DF9" s="151">
        <f>DF8</f>
        <v>44928</v>
      </c>
      <c r="DG9" s="152"/>
      <c r="DH9" s="152"/>
      <c r="DI9" s="152"/>
      <c r="DJ9" s="152"/>
      <c r="DK9" s="152"/>
      <c r="DL9" s="153"/>
      <c r="DM9" s="151">
        <f>DM8</f>
        <v>44935</v>
      </c>
      <c r="DN9" s="152"/>
      <c r="DO9" s="152"/>
      <c r="DP9" s="152"/>
      <c r="DQ9" s="152"/>
      <c r="DR9" s="152"/>
      <c r="DS9" s="153"/>
      <c r="DT9" s="151">
        <f>DT8</f>
        <v>44942</v>
      </c>
      <c r="DU9" s="152"/>
      <c r="DV9" s="152"/>
      <c r="DW9" s="152"/>
      <c r="DX9" s="152"/>
      <c r="DY9" s="152"/>
      <c r="DZ9" s="153"/>
      <c r="EA9" s="151">
        <f>EA8</f>
        <v>44949</v>
      </c>
      <c r="EB9" s="152"/>
      <c r="EC9" s="152"/>
      <c r="ED9" s="152"/>
      <c r="EE9" s="152"/>
      <c r="EF9" s="152"/>
      <c r="EG9" s="153"/>
      <c r="EH9" s="151">
        <f>EH8</f>
        <v>44956</v>
      </c>
      <c r="EI9" s="152"/>
      <c r="EJ9" s="152"/>
      <c r="EK9" s="152"/>
      <c r="EL9" s="152"/>
      <c r="EM9" s="152"/>
      <c r="EN9" s="153"/>
      <c r="EO9" s="151">
        <f>EO8</f>
        <v>44963</v>
      </c>
      <c r="EP9" s="152"/>
      <c r="EQ9" s="152"/>
      <c r="ER9" s="152"/>
      <c r="ES9" s="152"/>
      <c r="ET9" s="152"/>
      <c r="EU9" s="153"/>
      <c r="EV9" s="151">
        <f>EV8</f>
        <v>44970</v>
      </c>
      <c r="EW9" s="152"/>
      <c r="EX9" s="152"/>
      <c r="EY9" s="152"/>
      <c r="EZ9" s="152"/>
      <c r="FA9" s="152"/>
      <c r="FB9" s="153"/>
      <c r="FC9" s="151">
        <f>FC8</f>
        <v>44977</v>
      </c>
      <c r="FD9" s="152"/>
      <c r="FE9" s="152"/>
      <c r="FF9" s="152"/>
      <c r="FG9" s="152"/>
      <c r="FH9" s="152"/>
      <c r="FI9" s="153"/>
      <c r="FJ9" s="151">
        <f>FJ8</f>
        <v>44984</v>
      </c>
      <c r="FK9" s="152"/>
      <c r="FL9" s="152"/>
      <c r="FM9" s="152"/>
      <c r="FN9" s="152"/>
      <c r="FO9" s="152"/>
      <c r="FP9" s="153"/>
      <c r="FQ9" s="151">
        <f>FQ8</f>
        <v>44991</v>
      </c>
      <c r="FR9" s="152"/>
      <c r="FS9" s="152"/>
      <c r="FT9" s="152"/>
      <c r="FU9" s="152"/>
      <c r="FV9" s="152"/>
      <c r="FW9" s="153"/>
      <c r="FX9" s="151">
        <f>FX8</f>
        <v>44998</v>
      </c>
      <c r="FY9" s="152"/>
      <c r="FZ9" s="152"/>
      <c r="GA9" s="152"/>
      <c r="GB9" s="152"/>
      <c r="GC9" s="152"/>
      <c r="GD9" s="153"/>
      <c r="GE9" s="151">
        <f>GE8</f>
        <v>45005</v>
      </c>
      <c r="GF9" s="152"/>
      <c r="GG9" s="152"/>
      <c r="GH9" s="152"/>
      <c r="GI9" s="152"/>
      <c r="GJ9" s="152"/>
      <c r="GK9" s="153"/>
      <c r="GL9" s="151">
        <f>GL8</f>
        <v>45012</v>
      </c>
      <c r="GM9" s="152"/>
      <c r="GN9" s="152"/>
      <c r="GO9" s="152"/>
      <c r="GP9" s="152"/>
      <c r="GQ9" s="152"/>
      <c r="GR9" s="153"/>
      <c r="GS9" s="151">
        <f>GS8</f>
        <v>45019</v>
      </c>
      <c r="GT9" s="152"/>
      <c r="GU9" s="152"/>
      <c r="GV9" s="152"/>
      <c r="GW9" s="152"/>
      <c r="GX9" s="152"/>
      <c r="GY9" s="153"/>
      <c r="GZ9" s="151">
        <f>GZ8</f>
        <v>45026</v>
      </c>
      <c r="HA9" s="152"/>
      <c r="HB9" s="152"/>
      <c r="HC9" s="152"/>
      <c r="HD9" s="152"/>
      <c r="HE9" s="152"/>
      <c r="HF9" s="153"/>
      <c r="HG9" s="151">
        <f>HG8</f>
        <v>45033</v>
      </c>
      <c r="HH9" s="152"/>
      <c r="HI9" s="152"/>
      <c r="HJ9" s="152"/>
      <c r="HK9" s="152"/>
      <c r="HL9" s="152"/>
      <c r="HM9" s="153"/>
      <c r="HN9" s="151">
        <f>HN8</f>
        <v>45040</v>
      </c>
      <c r="HO9" s="152"/>
      <c r="HP9" s="152"/>
      <c r="HQ9" s="152"/>
      <c r="HR9" s="152"/>
      <c r="HS9" s="152"/>
      <c r="HT9" s="153"/>
      <c r="HU9" s="151">
        <f>HU8</f>
        <v>45047</v>
      </c>
      <c r="HV9" s="152"/>
      <c r="HW9" s="152"/>
      <c r="HX9" s="152"/>
      <c r="HY9" s="152"/>
      <c r="HZ9" s="152"/>
      <c r="IA9" s="153"/>
      <c r="IB9" s="151">
        <f>IB8</f>
        <v>45054</v>
      </c>
      <c r="IC9" s="152"/>
      <c r="ID9" s="152"/>
      <c r="IE9" s="152"/>
      <c r="IF9" s="152"/>
      <c r="IG9" s="152"/>
      <c r="IH9" s="153"/>
      <c r="II9" s="151">
        <f>II8</f>
        <v>45061</v>
      </c>
      <c r="IJ9" s="152"/>
      <c r="IK9" s="152"/>
      <c r="IL9" s="152"/>
      <c r="IM9" s="152"/>
      <c r="IN9" s="152"/>
      <c r="IO9" s="153"/>
      <c r="IP9" s="151">
        <f>IP8</f>
        <v>45068</v>
      </c>
      <c r="IQ9" s="152"/>
      <c r="IR9" s="152"/>
      <c r="IS9" s="152"/>
      <c r="IT9" s="152"/>
      <c r="IU9" s="152"/>
      <c r="IV9" s="153"/>
      <c r="IW9" s="151">
        <f>IW8</f>
        <v>45075</v>
      </c>
      <c r="IX9" s="152"/>
      <c r="IY9" s="152"/>
      <c r="IZ9" s="152"/>
      <c r="JA9" s="152"/>
      <c r="JB9" s="152"/>
      <c r="JC9" s="154"/>
      <c r="JD9" s="73"/>
    </row>
    <row r="10" spans="1:265" ht="38.25" customHeight="1" x14ac:dyDescent="0.35">
      <c r="A10" s="41" t="s">
        <v>14</v>
      </c>
      <c r="B10" s="41" t="s">
        <v>0</v>
      </c>
      <c r="C10" s="41" t="s">
        <v>8</v>
      </c>
      <c r="D10" s="41" t="s">
        <v>41</v>
      </c>
      <c r="E10" s="41" t="s">
        <v>93</v>
      </c>
      <c r="F10" s="41" t="s">
        <v>36</v>
      </c>
      <c r="G10" s="41" t="s">
        <v>39</v>
      </c>
      <c r="H10" s="100" t="s">
        <v>35</v>
      </c>
      <c r="I10" s="100" t="s">
        <v>38</v>
      </c>
      <c r="J10" s="100" t="s">
        <v>94</v>
      </c>
      <c r="K10" s="100" t="s">
        <v>96</v>
      </c>
      <c r="L10" s="100" t="s">
        <v>37</v>
      </c>
      <c r="M10" s="100" t="s">
        <v>27</v>
      </c>
      <c r="N10" s="41" t="s">
        <v>32</v>
      </c>
      <c r="O10" s="41" t="s">
        <v>33</v>
      </c>
      <c r="P10" s="41" t="s">
        <v>10</v>
      </c>
      <c r="Q10" s="41" t="s">
        <v>9</v>
      </c>
      <c r="R10" s="41" t="s">
        <v>28</v>
      </c>
      <c r="S10" s="41" t="s">
        <v>95</v>
      </c>
      <c r="T10" s="41" t="s">
        <v>20</v>
      </c>
      <c r="U10" s="30" t="s">
        <v>16</v>
      </c>
      <c r="V10" s="31" t="s">
        <v>17</v>
      </c>
      <c r="W10" s="32" t="s">
        <v>18</v>
      </c>
      <c r="X10" s="31" t="s">
        <v>21</v>
      </c>
      <c r="Y10" s="63" t="s">
        <v>23</v>
      </c>
      <c r="Z10" s="64" t="s">
        <v>26</v>
      </c>
      <c r="AA10" s="65"/>
      <c r="AB10" s="65"/>
      <c r="AC10" s="65"/>
      <c r="AD10" s="65"/>
      <c r="AE10" s="16"/>
      <c r="AF10" s="16"/>
      <c r="AG10" s="16"/>
      <c r="AH10" s="16"/>
      <c r="AI10" s="16"/>
      <c r="AJ10" s="16"/>
      <c r="AK10" s="16"/>
      <c r="AL10" s="16"/>
      <c r="AM10" s="16"/>
      <c r="AN10" s="16"/>
      <c r="AO10" s="16"/>
      <c r="AP10" s="16"/>
      <c r="AQ10" s="16"/>
      <c r="AR10" s="16"/>
      <c r="AS10" s="16"/>
      <c r="AT10" s="16"/>
      <c r="AU10" s="16"/>
      <c r="AV10" s="16"/>
      <c r="AW10" s="16"/>
      <c r="AX10" s="16"/>
      <c r="AY10" s="16"/>
      <c r="AZ10" s="16"/>
      <c r="BA10" s="16"/>
      <c r="BB10" s="16"/>
      <c r="BC10" s="16"/>
      <c r="BD10" s="16"/>
      <c r="BE10" s="16"/>
      <c r="BF10" s="16"/>
      <c r="BG10" s="16"/>
      <c r="BH10" s="16"/>
      <c r="BI10" s="16"/>
      <c r="BJ10" s="16"/>
      <c r="BK10" s="16"/>
      <c r="BL10" s="16"/>
      <c r="BM10" s="16"/>
      <c r="BN10" s="16"/>
      <c r="BO10" s="16"/>
      <c r="BP10" s="16"/>
      <c r="BQ10" s="16"/>
      <c r="BR10" s="16"/>
      <c r="BS10" s="16"/>
      <c r="BT10" s="16"/>
      <c r="BU10" s="16"/>
      <c r="BV10" s="16"/>
      <c r="BW10" s="16"/>
      <c r="BX10" s="16"/>
      <c r="BY10" s="16"/>
      <c r="BZ10" s="16"/>
      <c r="CA10" s="16"/>
      <c r="CB10" s="16"/>
      <c r="CC10" s="16"/>
      <c r="CD10" s="16"/>
      <c r="CE10" s="16"/>
      <c r="CF10" s="16"/>
      <c r="CG10" s="16"/>
      <c r="CH10" s="16"/>
      <c r="CI10" s="16"/>
      <c r="CJ10" s="16"/>
      <c r="CK10" s="16"/>
      <c r="CL10" s="16"/>
      <c r="CM10" s="16"/>
      <c r="CN10" s="16"/>
      <c r="CO10" s="16"/>
      <c r="CP10" s="16"/>
      <c r="CQ10" s="16"/>
      <c r="CR10" s="16"/>
      <c r="CS10" s="16"/>
      <c r="CT10" s="16"/>
      <c r="CU10" s="16"/>
      <c r="CV10" s="16"/>
      <c r="CW10" s="16"/>
      <c r="CX10" s="16"/>
      <c r="CY10" s="16"/>
      <c r="CZ10" s="16"/>
      <c r="DA10" s="16"/>
      <c r="DB10" s="16"/>
      <c r="DC10" s="16"/>
      <c r="DD10" s="16"/>
      <c r="DE10" s="16"/>
      <c r="DF10" s="16"/>
      <c r="DG10" s="16"/>
      <c r="DH10" s="16"/>
      <c r="DI10" s="16"/>
      <c r="DJ10" s="16"/>
      <c r="DK10" s="16"/>
      <c r="DL10" s="16"/>
      <c r="DM10" s="16"/>
      <c r="DN10" s="16"/>
      <c r="DO10" s="16"/>
      <c r="DP10" s="16"/>
      <c r="DQ10" s="16"/>
      <c r="DR10" s="16"/>
      <c r="DS10" s="16"/>
      <c r="DT10" s="16"/>
      <c r="DU10" s="16"/>
      <c r="DV10" s="16"/>
      <c r="DW10" s="16"/>
      <c r="DX10" s="16"/>
      <c r="DY10" s="16"/>
      <c r="DZ10" s="16"/>
      <c r="EA10" s="16"/>
      <c r="EB10" s="16"/>
      <c r="EC10" s="16"/>
      <c r="ED10" s="16"/>
      <c r="EE10" s="16"/>
      <c r="EF10" s="16"/>
      <c r="EG10" s="16"/>
      <c r="EH10" s="16"/>
      <c r="EI10" s="16"/>
      <c r="EJ10" s="16"/>
      <c r="EK10" s="16"/>
      <c r="EL10" s="16"/>
      <c r="EM10" s="16"/>
      <c r="EN10" s="16"/>
      <c r="EO10" s="16"/>
      <c r="EP10" s="16"/>
      <c r="EQ10" s="16"/>
      <c r="ER10" s="16"/>
      <c r="ES10" s="16"/>
      <c r="ET10" s="16"/>
      <c r="EU10" s="16"/>
      <c r="EV10" s="16"/>
      <c r="EW10" s="16"/>
      <c r="EX10" s="16"/>
      <c r="EY10" s="16"/>
      <c r="EZ10" s="16"/>
      <c r="FA10" s="16"/>
      <c r="FB10" s="16"/>
      <c r="FC10" s="16"/>
      <c r="FD10" s="16"/>
      <c r="FE10" s="16"/>
      <c r="FF10" s="16"/>
      <c r="FG10" s="16"/>
      <c r="FH10" s="16"/>
      <c r="FI10" s="16"/>
      <c r="FJ10" s="16"/>
      <c r="FK10" s="16"/>
      <c r="FL10" s="16"/>
      <c r="FM10" s="16"/>
      <c r="FN10" s="16"/>
      <c r="FO10" s="16"/>
      <c r="FP10" s="16"/>
      <c r="FQ10" s="16"/>
      <c r="FR10" s="16"/>
      <c r="FS10" s="16"/>
      <c r="FT10" s="16"/>
      <c r="FU10" s="16"/>
      <c r="FV10" s="16"/>
      <c r="FW10" s="16"/>
      <c r="FX10" s="16"/>
      <c r="FY10" s="16"/>
      <c r="FZ10" s="16"/>
      <c r="GA10" s="16"/>
      <c r="GB10" s="16"/>
      <c r="GC10" s="16"/>
      <c r="GD10" s="16"/>
      <c r="GE10" s="16"/>
      <c r="GF10" s="16"/>
      <c r="GG10" s="16"/>
      <c r="GH10" s="16"/>
      <c r="GI10" s="16"/>
      <c r="GJ10" s="16"/>
      <c r="GK10" s="16"/>
      <c r="GL10" s="16"/>
      <c r="GM10" s="16"/>
      <c r="GN10" s="16"/>
      <c r="GO10" s="16"/>
      <c r="GP10" s="16"/>
      <c r="GQ10" s="16"/>
      <c r="GR10" s="16"/>
      <c r="GS10" s="16"/>
      <c r="GT10" s="16"/>
      <c r="GU10" s="16"/>
      <c r="GV10" s="16"/>
      <c r="GW10" s="16"/>
      <c r="GX10" s="16"/>
      <c r="GY10" s="16"/>
      <c r="GZ10" s="16"/>
      <c r="HA10" s="16"/>
      <c r="HB10" s="16"/>
      <c r="HC10" s="16"/>
      <c r="HD10" s="16"/>
      <c r="HE10" s="16"/>
      <c r="HF10" s="16"/>
      <c r="HG10" s="16"/>
      <c r="HH10" s="16"/>
      <c r="HI10" s="16"/>
      <c r="HJ10" s="16"/>
      <c r="HK10" s="16"/>
      <c r="HL10" s="16"/>
      <c r="HM10" s="16"/>
      <c r="HN10" s="16"/>
      <c r="HO10" s="16"/>
      <c r="HP10" s="16"/>
      <c r="HQ10" s="16"/>
      <c r="HR10" s="16"/>
      <c r="HS10" s="16"/>
      <c r="HT10" s="16"/>
      <c r="HU10" s="16"/>
      <c r="HV10" s="16"/>
      <c r="HW10" s="16"/>
      <c r="HX10" s="16"/>
      <c r="HY10" s="16"/>
      <c r="HZ10" s="16"/>
      <c r="IA10" s="16"/>
      <c r="IB10" s="16"/>
      <c r="IC10" s="16"/>
      <c r="ID10" s="16"/>
      <c r="IE10" s="16"/>
      <c r="IF10" s="16"/>
      <c r="IG10" s="16"/>
      <c r="IH10" s="16"/>
      <c r="II10" s="16"/>
      <c r="IJ10" s="16"/>
      <c r="IK10" s="16"/>
      <c r="IL10" s="16"/>
      <c r="IM10" s="16"/>
      <c r="IN10" s="16"/>
      <c r="IO10" s="16"/>
      <c r="IP10" s="16"/>
      <c r="IQ10" s="16"/>
      <c r="IR10" s="16"/>
      <c r="IS10" s="16"/>
      <c r="IT10" s="16"/>
      <c r="IU10" s="16"/>
      <c r="IV10" s="16"/>
      <c r="IW10" s="16"/>
      <c r="IX10" s="16"/>
      <c r="IY10" s="16"/>
      <c r="IZ10" s="16"/>
      <c r="JA10" s="16"/>
      <c r="JB10" s="16"/>
      <c r="JC10" s="17"/>
      <c r="JE10" s="26"/>
    </row>
    <row r="11" spans="1:265" outlineLevel="2" x14ac:dyDescent="0.35">
      <c r="A11" s="112">
        <v>1</v>
      </c>
      <c r="B11" s="59" t="s">
        <v>44</v>
      </c>
      <c r="C11" s="52"/>
      <c r="D11" s="76" t="str">
        <f t="array" ref="D11">IF(OR(EXACT($O$8,D12:D12))=TRUE,$O$8,"f")</f>
        <v>f</v>
      </c>
      <c r="E11" s="52"/>
      <c r="F11" s="52"/>
      <c r="G11" s="52"/>
      <c r="H11" s="53"/>
      <c r="I11" s="53"/>
      <c r="J11" s="53"/>
      <c r="K11" s="53"/>
      <c r="L11" s="119"/>
      <c r="M11" s="53"/>
      <c r="N11" s="53"/>
      <c r="O11" s="102"/>
      <c r="P11" s="52"/>
      <c r="Q11" s="54">
        <f>MIN(Q12:Q14)</f>
        <v>44747</v>
      </c>
      <c r="R11" s="54">
        <f>MAX(R12:R14)</f>
        <v>44770</v>
      </c>
      <c r="S11" s="52">
        <f t="shared" ref="S11:S17" si="5">IF(R11-Q11=0,1,R11-Q11)</f>
        <v>23</v>
      </c>
      <c r="T11" s="107">
        <f>SUMPRODUCT(S12:S14,T12:T14)/SUM(S12:S14)</f>
        <v>1</v>
      </c>
      <c r="U11" s="21">
        <f>NETWORKDAYS(Q11,R11)</f>
        <v>18</v>
      </c>
      <c r="V11" s="21">
        <f>ROUNDDOWN(T11*S11,0)</f>
        <v>23</v>
      </c>
      <c r="W11" s="21">
        <f>S11-V11</f>
        <v>0</v>
      </c>
      <c r="X11" s="21" t="str">
        <f>IF(Expenses[[#This Row],[%]]=1,"ja","nein")</f>
        <v>ja</v>
      </c>
      <c r="Y11" s="66"/>
      <c r="Z11" s="21">
        <v>42738</v>
      </c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  <c r="CG11" s="21"/>
      <c r="CH11" s="21"/>
      <c r="CI11" s="21"/>
      <c r="CJ11" s="21"/>
      <c r="CK11" s="21"/>
      <c r="CL11" s="21"/>
      <c r="CM11" s="21"/>
      <c r="CN11" s="21"/>
      <c r="CO11" s="21"/>
      <c r="CP11" s="21"/>
      <c r="CQ11" s="21"/>
      <c r="CR11" s="21"/>
      <c r="CS11" s="21"/>
      <c r="CT11" s="21"/>
      <c r="CU11" s="21"/>
      <c r="CV11" s="21"/>
      <c r="CW11" s="21"/>
      <c r="CX11" s="21"/>
      <c r="CY11" s="21"/>
      <c r="CZ11" s="21"/>
      <c r="DA11" s="21"/>
      <c r="DB11" s="21"/>
      <c r="DC11" s="21"/>
      <c r="DD11" s="21"/>
      <c r="DE11" s="21"/>
      <c r="DF11" s="21"/>
      <c r="DG11" s="21"/>
      <c r="DH11" s="21"/>
      <c r="DI11" s="21"/>
      <c r="DJ11" s="21"/>
      <c r="DK11" s="21"/>
      <c r="DL11" s="21"/>
      <c r="DM11" s="21"/>
      <c r="DN11" s="21"/>
      <c r="DO11" s="21"/>
      <c r="DP11" s="21"/>
      <c r="DQ11" s="21"/>
      <c r="DR11" s="21"/>
      <c r="DS11" s="21"/>
      <c r="DT11" s="21"/>
      <c r="DU11" s="21"/>
      <c r="DV11" s="21"/>
      <c r="DW11" s="21"/>
      <c r="DX11" s="21"/>
      <c r="DY11" s="21"/>
      <c r="DZ11" s="21"/>
      <c r="EA11" s="21"/>
      <c r="EB11" s="21"/>
      <c r="EC11" s="21"/>
      <c r="ED11" s="21"/>
      <c r="EE11" s="21"/>
      <c r="EF11" s="21"/>
      <c r="EG11" s="21"/>
      <c r="EH11" s="21"/>
      <c r="EI11" s="21"/>
      <c r="EJ11" s="21"/>
      <c r="EK11" s="21"/>
      <c r="EL11" s="21"/>
      <c r="EM11" s="21"/>
      <c r="EN11" s="21"/>
      <c r="EO11" s="21"/>
      <c r="EP11" s="21"/>
      <c r="EQ11" s="21"/>
      <c r="ER11" s="21"/>
      <c r="ES11" s="21"/>
      <c r="ET11" s="21"/>
      <c r="EU11" s="21"/>
      <c r="EV11" s="21"/>
      <c r="EW11" s="21"/>
      <c r="EX11" s="21"/>
      <c r="EY11" s="21"/>
      <c r="EZ11" s="21"/>
      <c r="FA11" s="21"/>
      <c r="FB11" s="21"/>
      <c r="FC11" s="21"/>
      <c r="FD11" s="21"/>
      <c r="FE11" s="21"/>
      <c r="FF11" s="21"/>
      <c r="FG11" s="21"/>
      <c r="FH11" s="21"/>
      <c r="FI11" s="21"/>
      <c r="FJ11" s="21"/>
      <c r="FK11" s="21"/>
      <c r="FL11" s="21"/>
      <c r="FM11" s="21"/>
      <c r="FN11" s="21"/>
      <c r="FO11" s="21"/>
      <c r="FP11" s="21"/>
      <c r="FQ11" s="21"/>
      <c r="FR11" s="21"/>
      <c r="FS11" s="21"/>
      <c r="FT11" s="21"/>
      <c r="FU11" s="21"/>
      <c r="FV11" s="21"/>
      <c r="FW11" s="21"/>
      <c r="FX11" s="21"/>
      <c r="FY11" s="21"/>
      <c r="FZ11" s="21"/>
      <c r="GA11" s="21"/>
      <c r="GB11" s="21"/>
      <c r="GC11" s="21"/>
      <c r="GD11" s="21"/>
      <c r="GE11" s="21"/>
      <c r="GF11" s="21"/>
      <c r="GG11" s="21"/>
      <c r="GH11" s="21"/>
      <c r="GI11" s="21"/>
      <c r="GJ11" s="21"/>
      <c r="GK11" s="21"/>
      <c r="GL11" s="21"/>
      <c r="GM11" s="21"/>
      <c r="GN11" s="21"/>
      <c r="GO11" s="21"/>
      <c r="GP11" s="21"/>
      <c r="GQ11" s="21"/>
      <c r="GR11" s="21"/>
      <c r="GS11" s="21"/>
      <c r="GT11" s="21"/>
      <c r="GU11" s="21"/>
      <c r="GV11" s="21"/>
      <c r="GW11" s="21"/>
      <c r="GX11" s="21"/>
      <c r="GY11" s="21"/>
      <c r="GZ11" s="21"/>
      <c r="HA11" s="21"/>
      <c r="HB11" s="21"/>
      <c r="HC11" s="21"/>
      <c r="HD11" s="21"/>
      <c r="HE11" s="21"/>
      <c r="HF11" s="21"/>
      <c r="HG11" s="21"/>
      <c r="HH11" s="21"/>
      <c r="HI11" s="21"/>
      <c r="HJ11" s="21"/>
      <c r="HK11" s="21"/>
      <c r="HL11" s="21"/>
      <c r="HM11" s="21"/>
      <c r="HN11" s="21"/>
      <c r="HO11" s="21"/>
      <c r="HP11" s="21"/>
      <c r="HQ11" s="21"/>
      <c r="HR11" s="21"/>
      <c r="HS11" s="21"/>
      <c r="HT11" s="21"/>
      <c r="HU11" s="21"/>
      <c r="HV11" s="21"/>
      <c r="HW11" s="21"/>
      <c r="HX11" s="21"/>
      <c r="HY11" s="21"/>
      <c r="HZ11" s="21"/>
      <c r="IA11" s="21"/>
      <c r="IB11" s="21"/>
      <c r="IC11" s="21"/>
      <c r="ID11" s="21"/>
      <c r="IE11" s="21"/>
      <c r="IF11" s="21"/>
      <c r="IG11" s="21"/>
      <c r="IH11" s="21"/>
      <c r="II11" s="21"/>
      <c r="IJ11" s="21"/>
      <c r="IK11" s="21"/>
      <c r="IL11" s="21"/>
      <c r="IM11" s="21"/>
      <c r="IN11" s="21"/>
      <c r="IO11" s="21"/>
      <c r="IP11" s="21"/>
      <c r="IQ11" s="21"/>
      <c r="IR11" s="21"/>
      <c r="IS11" s="21"/>
      <c r="IT11" s="21"/>
      <c r="IU11" s="21"/>
      <c r="IV11" s="21"/>
      <c r="IW11" s="21"/>
      <c r="IX11" s="21"/>
      <c r="IY11" s="21"/>
      <c r="IZ11" s="21"/>
      <c r="JA11" s="21"/>
      <c r="JB11" s="21"/>
      <c r="JC11" s="21"/>
      <c r="JD11" s="74">
        <f ca="1">IF(AND(R11&lt;$U$4,T11&lt;100%),1,0)</f>
        <v>0</v>
      </c>
      <c r="JE11" s="26"/>
    </row>
    <row r="12" spans="1:265" outlineLevel="2" x14ac:dyDescent="0.35">
      <c r="A12" s="113" t="str">
        <f t="shared" ref="A12:A14" ca="1" si="6">IF(ISERROR(VALUE(SUBSTITUTE(OFFSET(A12,-1,0,1,1),".",""))),"0.1",IF(ISERROR(FIND("`",SUBSTITUTE(OFFSET(A12,-1,0,1,1),".","`",1))),OFFSET(A12,-1,0,1,1)&amp;".1",LEFT(OFFSET(A12,-1,0,1,1),FIND("`",SUBSTITUTE(OFFSET(A12,-1,0,1,1),".","`",1)))&amp;IF(ISERROR(FIND("`",SUBSTITUTE(OFFSET(A12,-1,0,1,1),".","`",2))),VALUE(RIGHT(OFFSET(A12,-1,0,1,1),LEN(OFFSET(A12,-1,0,1,1))-FIND("`",SUBSTITUTE(OFFSET(A12,-1,0,1,1),".","`",1))))+1,VALUE(MID(OFFSET(A12,-1,0,1,1),FIND("`",SUBSTITUTE(OFFSET(A12,-1,0,1,1),".","`",1))+1,(FIND("`",SUBSTITUTE(OFFSET(A12,-1,0,1,1),".","`",2))-FIND("`",SUBSTITUTE(OFFSET(A12,-1,0,1,1),".","`",1))-1)))+1)))</f>
        <v>1.1</v>
      </c>
      <c r="B12" s="56" t="s">
        <v>52</v>
      </c>
      <c r="C12" s="56" t="s">
        <v>58</v>
      </c>
      <c r="D12" s="56" t="s">
        <v>25</v>
      </c>
      <c r="E12" s="56"/>
      <c r="F12" s="57" t="s">
        <v>81</v>
      </c>
      <c r="G12" s="56"/>
      <c r="H12" s="82" t="s">
        <v>87</v>
      </c>
      <c r="I12" s="72"/>
      <c r="J12" s="72"/>
      <c r="K12" s="72" t="s">
        <v>97</v>
      </c>
      <c r="L12" s="120"/>
      <c r="M12" s="82"/>
      <c r="N12" s="82"/>
      <c r="O12" s="108"/>
      <c r="P12" s="84">
        <v>0</v>
      </c>
      <c r="Q12" s="86">
        <v>44747</v>
      </c>
      <c r="R12" s="86">
        <v>44767</v>
      </c>
      <c r="S12" s="150">
        <f t="shared" si="5"/>
        <v>20</v>
      </c>
      <c r="T12" s="87">
        <v>1</v>
      </c>
      <c r="U12" s="19">
        <f>NETWORKDAYS(Q12,R12)</f>
        <v>15</v>
      </c>
      <c r="V12" s="20">
        <f>ROUNDDOWN(T12*S12,0)</f>
        <v>20</v>
      </c>
      <c r="W12" s="29">
        <f>S12-V12</f>
        <v>0</v>
      </c>
      <c r="X12" s="21" t="str">
        <f>IF(Expenses[[#This Row],[%]]=1,"ja","nein")</f>
        <v>ja</v>
      </c>
      <c r="Y12" s="66"/>
      <c r="Z12" s="21">
        <v>42739</v>
      </c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  <c r="CG12" s="21"/>
      <c r="CH12" s="21"/>
      <c r="CI12" s="21"/>
      <c r="CJ12" s="21"/>
      <c r="CK12" s="21"/>
      <c r="CL12" s="21"/>
      <c r="CM12" s="21"/>
      <c r="CN12" s="21"/>
      <c r="CO12" s="21"/>
      <c r="CP12" s="21"/>
      <c r="CQ12" s="21"/>
      <c r="CR12" s="21"/>
      <c r="CS12" s="21"/>
      <c r="CT12" s="21"/>
      <c r="CU12" s="21"/>
      <c r="CV12" s="21"/>
      <c r="CW12" s="21"/>
      <c r="CX12" s="21"/>
      <c r="CY12" s="21"/>
      <c r="CZ12" s="21"/>
      <c r="DA12" s="21"/>
      <c r="DB12" s="21"/>
      <c r="DC12" s="21"/>
      <c r="DD12" s="21"/>
      <c r="DE12" s="21"/>
      <c r="DF12" s="21"/>
      <c r="DG12" s="21"/>
      <c r="DH12" s="21"/>
      <c r="DI12" s="21"/>
      <c r="DJ12" s="21"/>
      <c r="DK12" s="21"/>
      <c r="DL12" s="21"/>
      <c r="DM12" s="21"/>
      <c r="DN12" s="21"/>
      <c r="DO12" s="21"/>
      <c r="DP12" s="21"/>
      <c r="DQ12" s="21"/>
      <c r="DR12" s="21"/>
      <c r="DS12" s="21"/>
      <c r="DT12" s="21"/>
      <c r="DU12" s="21"/>
      <c r="DV12" s="21"/>
      <c r="DW12" s="21"/>
      <c r="DX12" s="21"/>
      <c r="DY12" s="21"/>
      <c r="DZ12" s="21"/>
      <c r="EA12" s="21"/>
      <c r="EB12" s="21"/>
      <c r="EC12" s="21"/>
      <c r="ED12" s="21"/>
      <c r="EE12" s="21"/>
      <c r="EF12" s="21"/>
      <c r="EG12" s="21"/>
      <c r="EH12" s="21"/>
      <c r="EI12" s="21"/>
      <c r="EJ12" s="21"/>
      <c r="EK12" s="21"/>
      <c r="EL12" s="21"/>
      <c r="EM12" s="21"/>
      <c r="EN12" s="21"/>
      <c r="EO12" s="21"/>
      <c r="EP12" s="21"/>
      <c r="EQ12" s="21"/>
      <c r="ER12" s="21"/>
      <c r="ES12" s="21"/>
      <c r="ET12" s="21"/>
      <c r="EU12" s="21"/>
      <c r="EV12" s="21"/>
      <c r="EW12" s="21"/>
      <c r="EX12" s="21"/>
      <c r="EY12" s="21"/>
      <c r="EZ12" s="21"/>
      <c r="FA12" s="21"/>
      <c r="FB12" s="21"/>
      <c r="FC12" s="21"/>
      <c r="FD12" s="21"/>
      <c r="FE12" s="21"/>
      <c r="FF12" s="21"/>
      <c r="FG12" s="21"/>
      <c r="FH12" s="21"/>
      <c r="FI12" s="21"/>
      <c r="FJ12" s="21"/>
      <c r="FK12" s="21"/>
      <c r="FL12" s="21"/>
      <c r="FM12" s="21"/>
      <c r="FN12" s="21"/>
      <c r="FO12" s="21"/>
      <c r="FP12" s="21"/>
      <c r="FQ12" s="21"/>
      <c r="FR12" s="21"/>
      <c r="FS12" s="21"/>
      <c r="FT12" s="21"/>
      <c r="FU12" s="21"/>
      <c r="FV12" s="21"/>
      <c r="FW12" s="21"/>
      <c r="FX12" s="21"/>
      <c r="FY12" s="21"/>
      <c r="FZ12" s="21"/>
      <c r="GA12" s="21"/>
      <c r="GB12" s="21"/>
      <c r="GC12" s="21"/>
      <c r="GD12" s="21"/>
      <c r="GE12" s="21"/>
      <c r="GF12" s="21"/>
      <c r="GG12" s="21"/>
      <c r="GH12" s="21"/>
      <c r="GI12" s="21"/>
      <c r="GJ12" s="21"/>
      <c r="GK12" s="21"/>
      <c r="GL12" s="21"/>
      <c r="GM12" s="21"/>
      <c r="GN12" s="21"/>
      <c r="GO12" s="21"/>
      <c r="GP12" s="21"/>
      <c r="GQ12" s="21"/>
      <c r="GR12" s="21"/>
      <c r="GS12" s="21"/>
      <c r="GT12" s="21"/>
      <c r="GU12" s="21"/>
      <c r="GV12" s="21"/>
      <c r="GW12" s="21"/>
      <c r="GX12" s="21"/>
      <c r="GY12" s="21"/>
      <c r="GZ12" s="21"/>
      <c r="HA12" s="21"/>
      <c r="HB12" s="21"/>
      <c r="HC12" s="21"/>
      <c r="HD12" s="21"/>
      <c r="HE12" s="21"/>
      <c r="HF12" s="21"/>
      <c r="HG12" s="21"/>
      <c r="HH12" s="21"/>
      <c r="HI12" s="21"/>
      <c r="HJ12" s="21"/>
      <c r="HK12" s="21"/>
      <c r="HL12" s="21"/>
      <c r="HM12" s="21"/>
      <c r="HN12" s="21"/>
      <c r="HO12" s="21"/>
      <c r="HP12" s="21"/>
      <c r="HQ12" s="21"/>
      <c r="HR12" s="21"/>
      <c r="HS12" s="21"/>
      <c r="HT12" s="21"/>
      <c r="HU12" s="21"/>
      <c r="HV12" s="21"/>
      <c r="HW12" s="21"/>
      <c r="HX12" s="21"/>
      <c r="HY12" s="21"/>
      <c r="HZ12" s="21"/>
      <c r="IA12" s="21"/>
      <c r="IB12" s="21"/>
      <c r="IC12" s="21"/>
      <c r="ID12" s="21"/>
      <c r="IE12" s="21"/>
      <c r="IF12" s="21"/>
      <c r="IG12" s="21"/>
      <c r="IH12" s="21"/>
      <c r="II12" s="21"/>
      <c r="IJ12" s="21"/>
      <c r="IK12" s="21"/>
      <c r="IL12" s="21"/>
      <c r="IM12" s="21"/>
      <c r="IN12" s="21"/>
      <c r="IO12" s="21"/>
      <c r="IP12" s="21"/>
      <c r="IQ12" s="21"/>
      <c r="IR12" s="21"/>
      <c r="IS12" s="21"/>
      <c r="IT12" s="21"/>
      <c r="IU12" s="21"/>
      <c r="IV12" s="21"/>
      <c r="IW12" s="21"/>
      <c r="IX12" s="21"/>
      <c r="IY12" s="21"/>
      <c r="IZ12" s="21"/>
      <c r="JA12" s="21"/>
      <c r="JB12" s="21"/>
      <c r="JC12" s="21"/>
      <c r="JD12" s="74"/>
      <c r="JE12" s="26"/>
    </row>
    <row r="13" spans="1:265" outlineLevel="2" x14ac:dyDescent="0.35">
      <c r="A13" s="113" t="str">
        <f t="shared" ca="1" si="6"/>
        <v>1.2</v>
      </c>
      <c r="B13" s="56" t="s">
        <v>53</v>
      </c>
      <c r="C13" s="56" t="s">
        <v>59</v>
      </c>
      <c r="D13" s="56" t="s">
        <v>64</v>
      </c>
      <c r="E13" s="56"/>
      <c r="F13" s="57" t="s">
        <v>83</v>
      </c>
      <c r="G13" s="56"/>
      <c r="H13" s="82" t="s">
        <v>89</v>
      </c>
      <c r="I13" s="72"/>
      <c r="J13" s="72"/>
      <c r="K13" s="72" t="s">
        <v>98</v>
      </c>
      <c r="L13" s="120"/>
      <c r="M13" s="82"/>
      <c r="N13" s="82"/>
      <c r="O13" s="103"/>
      <c r="P13" s="84">
        <v>1</v>
      </c>
      <c r="Q13" s="86">
        <v>44753</v>
      </c>
      <c r="R13" s="86">
        <v>44770</v>
      </c>
      <c r="S13" s="150">
        <f t="shared" ref="S13:S14" si="7">IF(R13-Q13=0,1,R13-Q13)</f>
        <v>17</v>
      </c>
      <c r="T13" s="87">
        <v>1</v>
      </c>
      <c r="U13" s="19">
        <f t="shared" ref="U13:U14" si="8">NETWORKDAYS(Q13,R13)</f>
        <v>14</v>
      </c>
      <c r="V13" s="20">
        <f t="shared" ref="V13:V14" si="9">ROUNDDOWN(T13*S13,0)</f>
        <v>17</v>
      </c>
      <c r="W13" s="51">
        <f t="shared" ref="W13:W14" si="10">S13-V13</f>
        <v>0</v>
      </c>
      <c r="X13" s="21" t="str">
        <f>IF(Expenses[[#This Row],[%]]=1,"ja","nein")</f>
        <v>ja</v>
      </c>
      <c r="Y13" s="66"/>
      <c r="Z13" s="21"/>
      <c r="AA13" s="21"/>
      <c r="AB13" s="21"/>
      <c r="AC13" s="21"/>
      <c r="AD13" s="21"/>
      <c r="AE13" s="21"/>
      <c r="AF13" s="21"/>
      <c r="AG13" s="21"/>
      <c r="AH13" s="21"/>
      <c r="AI13" s="21"/>
      <c r="AJ13" s="21"/>
      <c r="AK13" s="21"/>
      <c r="AL13" s="21"/>
      <c r="AM13" s="21"/>
      <c r="AN13" s="21"/>
      <c r="AO13" s="21"/>
      <c r="AP13" s="21"/>
      <c r="AQ13" s="21"/>
      <c r="AR13" s="21"/>
      <c r="AS13" s="21"/>
      <c r="AT13" s="21"/>
      <c r="AU13" s="21"/>
      <c r="AV13" s="21"/>
      <c r="AW13" s="21"/>
      <c r="AX13" s="21"/>
      <c r="AY13" s="21"/>
      <c r="AZ13" s="21"/>
      <c r="BA13" s="21"/>
      <c r="BB13" s="21"/>
      <c r="BC13" s="21"/>
      <c r="BD13" s="21"/>
      <c r="BE13" s="21"/>
      <c r="BF13" s="21"/>
      <c r="BG13" s="21"/>
      <c r="BH13" s="21"/>
      <c r="BI13" s="21"/>
      <c r="BJ13" s="21"/>
      <c r="BK13" s="21"/>
      <c r="BL13" s="21"/>
      <c r="BM13" s="21"/>
      <c r="BN13" s="21"/>
      <c r="BO13" s="21"/>
      <c r="BP13" s="21"/>
      <c r="BQ13" s="21"/>
      <c r="BR13" s="21"/>
      <c r="BS13" s="21"/>
      <c r="BT13" s="21"/>
      <c r="BU13" s="21"/>
      <c r="BV13" s="21"/>
      <c r="BW13" s="21"/>
      <c r="BX13" s="21"/>
      <c r="BY13" s="21"/>
      <c r="BZ13" s="21"/>
      <c r="CA13" s="21"/>
      <c r="CB13" s="21"/>
      <c r="CC13" s="21"/>
      <c r="CD13" s="21"/>
      <c r="CE13" s="21"/>
      <c r="CF13" s="21"/>
      <c r="CG13" s="21"/>
      <c r="CH13" s="21"/>
      <c r="CI13" s="21"/>
      <c r="CJ13" s="21"/>
      <c r="CK13" s="21"/>
      <c r="CL13" s="21"/>
      <c r="CM13" s="21"/>
      <c r="CN13" s="21"/>
      <c r="CO13" s="21"/>
      <c r="CP13" s="21"/>
      <c r="CQ13" s="21"/>
      <c r="CR13" s="21"/>
      <c r="CS13" s="21"/>
      <c r="CT13" s="21"/>
      <c r="CU13" s="21"/>
      <c r="CV13" s="21"/>
      <c r="CW13" s="21"/>
      <c r="CX13" s="21"/>
      <c r="CY13" s="21"/>
      <c r="CZ13" s="21"/>
      <c r="DA13" s="21"/>
      <c r="DB13" s="21"/>
      <c r="DC13" s="21"/>
      <c r="DD13" s="21"/>
      <c r="DE13" s="21"/>
      <c r="DF13" s="21"/>
      <c r="DG13" s="21"/>
      <c r="DH13" s="21"/>
      <c r="DI13" s="21"/>
      <c r="DJ13" s="21"/>
      <c r="DK13" s="21"/>
      <c r="DL13" s="21"/>
      <c r="DM13" s="21"/>
      <c r="DN13" s="21"/>
      <c r="DO13" s="21"/>
      <c r="DP13" s="21"/>
      <c r="DQ13" s="21"/>
      <c r="DR13" s="21"/>
      <c r="DS13" s="21"/>
      <c r="DT13" s="21"/>
      <c r="DU13" s="21"/>
      <c r="DV13" s="21"/>
      <c r="DW13" s="21"/>
      <c r="DX13" s="21"/>
      <c r="DY13" s="21"/>
      <c r="DZ13" s="21"/>
      <c r="EA13" s="21"/>
      <c r="EB13" s="21"/>
      <c r="EC13" s="21"/>
      <c r="ED13" s="21"/>
      <c r="EE13" s="21"/>
      <c r="EF13" s="21"/>
      <c r="EG13" s="21"/>
      <c r="EH13" s="21"/>
      <c r="EI13" s="21"/>
      <c r="EJ13" s="21"/>
      <c r="EK13" s="21"/>
      <c r="EL13" s="21"/>
      <c r="EM13" s="21"/>
      <c r="EN13" s="21"/>
      <c r="EO13" s="21"/>
      <c r="EP13" s="21"/>
      <c r="EQ13" s="21"/>
      <c r="ER13" s="21"/>
      <c r="ES13" s="21"/>
      <c r="ET13" s="21"/>
      <c r="EU13" s="21"/>
      <c r="EV13" s="21"/>
      <c r="EW13" s="21"/>
      <c r="EX13" s="21"/>
      <c r="EY13" s="21"/>
      <c r="EZ13" s="21"/>
      <c r="FA13" s="21"/>
      <c r="FB13" s="21"/>
      <c r="FC13" s="21"/>
      <c r="FD13" s="21"/>
      <c r="FE13" s="21"/>
      <c r="FF13" s="21"/>
      <c r="FG13" s="21"/>
      <c r="FH13" s="21"/>
      <c r="FI13" s="21"/>
      <c r="FJ13" s="21"/>
      <c r="FK13" s="21"/>
      <c r="FL13" s="21"/>
      <c r="FM13" s="21"/>
      <c r="FN13" s="21"/>
      <c r="FO13" s="21"/>
      <c r="FP13" s="21"/>
      <c r="FQ13" s="21"/>
      <c r="FR13" s="21"/>
      <c r="FS13" s="21"/>
      <c r="FT13" s="21"/>
      <c r="FU13" s="21"/>
      <c r="FV13" s="21"/>
      <c r="FW13" s="21"/>
      <c r="FX13" s="21"/>
      <c r="FY13" s="21"/>
      <c r="FZ13" s="21"/>
      <c r="GA13" s="21"/>
      <c r="GB13" s="21"/>
      <c r="GC13" s="21"/>
      <c r="GD13" s="21"/>
      <c r="GE13" s="21"/>
      <c r="GF13" s="21"/>
      <c r="GG13" s="21"/>
      <c r="GH13" s="21"/>
      <c r="GI13" s="21"/>
      <c r="GJ13" s="21"/>
      <c r="GK13" s="21"/>
      <c r="GL13" s="21"/>
      <c r="GM13" s="21"/>
      <c r="GN13" s="21"/>
      <c r="GO13" s="21"/>
      <c r="GP13" s="21"/>
      <c r="GQ13" s="21"/>
      <c r="GR13" s="21"/>
      <c r="GS13" s="21"/>
      <c r="GT13" s="21"/>
      <c r="GU13" s="21"/>
      <c r="GV13" s="21"/>
      <c r="GW13" s="21"/>
      <c r="GX13" s="21"/>
      <c r="GY13" s="21"/>
      <c r="GZ13" s="21"/>
      <c r="HA13" s="21"/>
      <c r="HB13" s="21"/>
      <c r="HC13" s="21"/>
      <c r="HD13" s="21"/>
      <c r="HE13" s="21"/>
      <c r="HF13" s="21"/>
      <c r="HG13" s="21"/>
      <c r="HH13" s="21"/>
      <c r="HI13" s="21"/>
      <c r="HJ13" s="21"/>
      <c r="HK13" s="21"/>
      <c r="HL13" s="21"/>
      <c r="HM13" s="21"/>
      <c r="HN13" s="21"/>
      <c r="HO13" s="21"/>
      <c r="HP13" s="21"/>
      <c r="HQ13" s="21"/>
      <c r="HR13" s="21"/>
      <c r="HS13" s="21"/>
      <c r="HT13" s="21"/>
      <c r="HU13" s="21"/>
      <c r="HV13" s="21"/>
      <c r="HW13" s="21"/>
      <c r="HX13" s="21"/>
      <c r="HY13" s="21"/>
      <c r="HZ13" s="21"/>
      <c r="IA13" s="21"/>
      <c r="IB13" s="21"/>
      <c r="IC13" s="21"/>
      <c r="ID13" s="21"/>
      <c r="IE13" s="21"/>
      <c r="IF13" s="21"/>
      <c r="IG13" s="21"/>
      <c r="IH13" s="21"/>
      <c r="II13" s="21"/>
      <c r="IJ13" s="21"/>
      <c r="IK13" s="21"/>
      <c r="IL13" s="21"/>
      <c r="IM13" s="21"/>
      <c r="IN13" s="21"/>
      <c r="IO13" s="21"/>
      <c r="IP13" s="21"/>
      <c r="IQ13" s="21"/>
      <c r="IR13" s="21"/>
      <c r="IS13" s="21"/>
      <c r="IT13" s="21"/>
      <c r="IU13" s="21"/>
      <c r="IV13" s="21"/>
      <c r="IW13" s="21"/>
      <c r="IX13" s="21"/>
      <c r="IY13" s="21"/>
      <c r="IZ13" s="21"/>
      <c r="JA13" s="21"/>
      <c r="JB13" s="21"/>
      <c r="JC13" s="21"/>
      <c r="JD13" s="74"/>
      <c r="JE13" s="26"/>
    </row>
    <row r="14" spans="1:265" outlineLevel="2" x14ac:dyDescent="0.35">
      <c r="A14" s="113" t="str">
        <f t="shared" ca="1" si="6"/>
        <v>1.3</v>
      </c>
      <c r="B14" s="56" t="s">
        <v>54</v>
      </c>
      <c r="C14" s="56" t="s">
        <v>60</v>
      </c>
      <c r="D14" s="56" t="s">
        <v>65</v>
      </c>
      <c r="E14" s="56"/>
      <c r="F14" s="57" t="s">
        <v>84</v>
      </c>
      <c r="G14" s="56"/>
      <c r="H14" s="82" t="s">
        <v>40</v>
      </c>
      <c r="I14" s="72"/>
      <c r="J14" s="72"/>
      <c r="K14" s="72" t="s">
        <v>97</v>
      </c>
      <c r="L14" s="120"/>
      <c r="M14" s="82"/>
      <c r="N14" s="82"/>
      <c r="O14" s="103"/>
      <c r="P14" s="84"/>
      <c r="Q14" s="86">
        <v>44747</v>
      </c>
      <c r="R14" s="86">
        <v>44754</v>
      </c>
      <c r="S14" s="150">
        <f t="shared" si="7"/>
        <v>7</v>
      </c>
      <c r="T14" s="87">
        <v>1</v>
      </c>
      <c r="U14" s="19">
        <f t="shared" si="8"/>
        <v>6</v>
      </c>
      <c r="V14" s="20">
        <f t="shared" si="9"/>
        <v>7</v>
      </c>
      <c r="W14" s="51">
        <f t="shared" si="10"/>
        <v>0</v>
      </c>
      <c r="X14" s="21" t="str">
        <f>IF(Expenses[[#This Row],[%]]=1,"ja","nein")</f>
        <v>ja</v>
      </c>
      <c r="Y14" s="66"/>
      <c r="Z14" s="21"/>
      <c r="AA14" s="21"/>
      <c r="AB14" s="21"/>
      <c r="AC14" s="21"/>
      <c r="AD14" s="21"/>
      <c r="AE14" s="21"/>
      <c r="AF14" s="21"/>
      <c r="AG14" s="21"/>
      <c r="AH14" s="21"/>
      <c r="AI14" s="21"/>
      <c r="AJ14" s="21"/>
      <c r="AK14" s="21"/>
      <c r="AL14" s="21"/>
      <c r="AM14" s="21"/>
      <c r="AN14" s="21"/>
      <c r="AO14" s="21"/>
      <c r="AP14" s="21"/>
      <c r="AQ14" s="21"/>
      <c r="AR14" s="21"/>
      <c r="AS14" s="21"/>
      <c r="AT14" s="21"/>
      <c r="AU14" s="21"/>
      <c r="AV14" s="21"/>
      <c r="AW14" s="21"/>
      <c r="AX14" s="21"/>
      <c r="AY14" s="21"/>
      <c r="AZ14" s="21"/>
      <c r="BA14" s="21"/>
      <c r="BB14" s="21"/>
      <c r="BC14" s="21"/>
      <c r="BD14" s="21"/>
      <c r="BE14" s="21"/>
      <c r="BF14" s="21"/>
      <c r="BG14" s="21"/>
      <c r="BH14" s="21"/>
      <c r="BI14" s="21"/>
      <c r="BJ14" s="21"/>
      <c r="BK14" s="21"/>
      <c r="BL14" s="21"/>
      <c r="BM14" s="21"/>
      <c r="BN14" s="21"/>
      <c r="BO14" s="21"/>
      <c r="BP14" s="21"/>
      <c r="BQ14" s="21"/>
      <c r="BR14" s="21"/>
      <c r="BS14" s="21"/>
      <c r="BT14" s="21"/>
      <c r="BU14" s="21"/>
      <c r="BV14" s="21"/>
      <c r="BW14" s="21"/>
      <c r="BX14" s="21"/>
      <c r="BY14" s="21"/>
      <c r="BZ14" s="21"/>
      <c r="CA14" s="21"/>
      <c r="CB14" s="21"/>
      <c r="CC14" s="21"/>
      <c r="CD14" s="21"/>
      <c r="CE14" s="21"/>
      <c r="CF14" s="21"/>
      <c r="CG14" s="21"/>
      <c r="CH14" s="21"/>
      <c r="CI14" s="21"/>
      <c r="CJ14" s="21"/>
      <c r="CK14" s="21"/>
      <c r="CL14" s="21"/>
      <c r="CM14" s="21"/>
      <c r="CN14" s="21"/>
      <c r="CO14" s="21"/>
      <c r="CP14" s="21"/>
      <c r="CQ14" s="21"/>
      <c r="CR14" s="21"/>
      <c r="CS14" s="21"/>
      <c r="CT14" s="21"/>
      <c r="CU14" s="21"/>
      <c r="CV14" s="21"/>
      <c r="CW14" s="21"/>
      <c r="CX14" s="21"/>
      <c r="CY14" s="21"/>
      <c r="CZ14" s="21"/>
      <c r="DA14" s="21"/>
      <c r="DB14" s="21"/>
      <c r="DC14" s="21"/>
      <c r="DD14" s="21"/>
      <c r="DE14" s="21"/>
      <c r="DF14" s="21"/>
      <c r="DG14" s="21"/>
      <c r="DH14" s="21"/>
      <c r="DI14" s="21"/>
      <c r="DJ14" s="21"/>
      <c r="DK14" s="21"/>
      <c r="DL14" s="21"/>
      <c r="DM14" s="21"/>
      <c r="DN14" s="21"/>
      <c r="DO14" s="21"/>
      <c r="DP14" s="21"/>
      <c r="DQ14" s="21"/>
      <c r="DR14" s="21"/>
      <c r="DS14" s="21"/>
      <c r="DT14" s="21"/>
      <c r="DU14" s="21"/>
      <c r="DV14" s="21"/>
      <c r="DW14" s="21"/>
      <c r="DX14" s="21"/>
      <c r="DY14" s="21"/>
      <c r="DZ14" s="21"/>
      <c r="EA14" s="21"/>
      <c r="EB14" s="21"/>
      <c r="EC14" s="21"/>
      <c r="ED14" s="21"/>
      <c r="EE14" s="21"/>
      <c r="EF14" s="21"/>
      <c r="EG14" s="21"/>
      <c r="EH14" s="21"/>
      <c r="EI14" s="21"/>
      <c r="EJ14" s="21"/>
      <c r="EK14" s="21"/>
      <c r="EL14" s="21"/>
      <c r="EM14" s="21"/>
      <c r="EN14" s="21"/>
      <c r="EO14" s="21"/>
      <c r="EP14" s="21"/>
      <c r="EQ14" s="21"/>
      <c r="ER14" s="21"/>
      <c r="ES14" s="21"/>
      <c r="ET14" s="21"/>
      <c r="EU14" s="21"/>
      <c r="EV14" s="21"/>
      <c r="EW14" s="21"/>
      <c r="EX14" s="21"/>
      <c r="EY14" s="21"/>
      <c r="EZ14" s="21"/>
      <c r="FA14" s="21"/>
      <c r="FB14" s="21"/>
      <c r="FC14" s="21"/>
      <c r="FD14" s="21"/>
      <c r="FE14" s="21"/>
      <c r="FF14" s="21"/>
      <c r="FG14" s="21"/>
      <c r="FH14" s="21"/>
      <c r="FI14" s="21"/>
      <c r="FJ14" s="21"/>
      <c r="FK14" s="21"/>
      <c r="FL14" s="21"/>
      <c r="FM14" s="21"/>
      <c r="FN14" s="21"/>
      <c r="FO14" s="21"/>
      <c r="FP14" s="21"/>
      <c r="FQ14" s="21"/>
      <c r="FR14" s="21"/>
      <c r="FS14" s="21"/>
      <c r="FT14" s="21"/>
      <c r="FU14" s="21"/>
      <c r="FV14" s="21"/>
      <c r="FW14" s="21"/>
      <c r="FX14" s="21"/>
      <c r="FY14" s="21"/>
      <c r="FZ14" s="21"/>
      <c r="GA14" s="21"/>
      <c r="GB14" s="21"/>
      <c r="GC14" s="21"/>
      <c r="GD14" s="21"/>
      <c r="GE14" s="21"/>
      <c r="GF14" s="21"/>
      <c r="GG14" s="21"/>
      <c r="GH14" s="21"/>
      <c r="GI14" s="21"/>
      <c r="GJ14" s="21"/>
      <c r="GK14" s="21"/>
      <c r="GL14" s="21"/>
      <c r="GM14" s="21"/>
      <c r="GN14" s="21"/>
      <c r="GO14" s="21"/>
      <c r="GP14" s="21"/>
      <c r="GQ14" s="21"/>
      <c r="GR14" s="21"/>
      <c r="GS14" s="21"/>
      <c r="GT14" s="21"/>
      <c r="GU14" s="21"/>
      <c r="GV14" s="21"/>
      <c r="GW14" s="21"/>
      <c r="GX14" s="21"/>
      <c r="GY14" s="21"/>
      <c r="GZ14" s="21"/>
      <c r="HA14" s="21"/>
      <c r="HB14" s="21"/>
      <c r="HC14" s="21"/>
      <c r="HD14" s="21"/>
      <c r="HE14" s="21"/>
      <c r="HF14" s="21"/>
      <c r="HG14" s="21"/>
      <c r="HH14" s="21"/>
      <c r="HI14" s="21"/>
      <c r="HJ14" s="21"/>
      <c r="HK14" s="21"/>
      <c r="HL14" s="21"/>
      <c r="HM14" s="21"/>
      <c r="HN14" s="21"/>
      <c r="HO14" s="21"/>
      <c r="HP14" s="21"/>
      <c r="HQ14" s="21"/>
      <c r="HR14" s="21"/>
      <c r="HS14" s="21"/>
      <c r="HT14" s="21"/>
      <c r="HU14" s="21"/>
      <c r="HV14" s="21"/>
      <c r="HW14" s="21"/>
      <c r="HX14" s="21"/>
      <c r="HY14" s="21"/>
      <c r="HZ14" s="21"/>
      <c r="IA14" s="21"/>
      <c r="IB14" s="21"/>
      <c r="IC14" s="21"/>
      <c r="ID14" s="21"/>
      <c r="IE14" s="21"/>
      <c r="IF14" s="21"/>
      <c r="IG14" s="21"/>
      <c r="IH14" s="21"/>
      <c r="II14" s="21"/>
      <c r="IJ14" s="21"/>
      <c r="IK14" s="21"/>
      <c r="IL14" s="21"/>
      <c r="IM14" s="21"/>
      <c r="IN14" s="21"/>
      <c r="IO14" s="21"/>
      <c r="IP14" s="21"/>
      <c r="IQ14" s="21"/>
      <c r="IR14" s="21"/>
      <c r="IS14" s="21"/>
      <c r="IT14" s="21"/>
      <c r="IU14" s="21"/>
      <c r="IV14" s="21"/>
      <c r="IW14" s="21"/>
      <c r="IX14" s="21"/>
      <c r="IY14" s="21"/>
      <c r="IZ14" s="21"/>
      <c r="JA14" s="21"/>
      <c r="JB14" s="21"/>
      <c r="JC14" s="21"/>
      <c r="JD14" s="74"/>
      <c r="JE14" s="26"/>
    </row>
    <row r="15" spans="1:265" outlineLevel="2" x14ac:dyDescent="0.35">
      <c r="A15" s="112">
        <v>2</v>
      </c>
      <c r="B15" s="59" t="s">
        <v>45</v>
      </c>
      <c r="C15" s="55"/>
      <c r="D15" s="93" t="str">
        <f t="array" ref="D15">IF(OR(EXACT($O$8,D16:D17))=TRUE,$O$8,"f")</f>
        <v>f</v>
      </c>
      <c r="E15" s="55"/>
      <c r="F15" s="55"/>
      <c r="G15" s="55"/>
      <c r="H15" s="58"/>
      <c r="I15" s="58"/>
      <c r="J15" s="58"/>
      <c r="K15" s="58"/>
      <c r="L15" s="121"/>
      <c r="M15" s="58"/>
      <c r="N15" s="58"/>
      <c r="O15" s="104"/>
      <c r="P15" s="78"/>
      <c r="Q15" s="54">
        <f>MIN(Q16:Q17)</f>
        <v>44805</v>
      </c>
      <c r="R15" s="54">
        <f>MAX(R16:R17)</f>
        <v>44806</v>
      </c>
      <c r="S15" s="52">
        <f t="shared" si="5"/>
        <v>1</v>
      </c>
      <c r="T15" s="107">
        <f>SUMPRODUCT(S16:S17,T16:T17)/SUM(S16:S17)</f>
        <v>1</v>
      </c>
      <c r="U15" s="19">
        <f t="shared" ref="U15:U17" si="11">NETWORKDAYS(Q15,R15)</f>
        <v>2</v>
      </c>
      <c r="V15" s="20">
        <f t="shared" ref="V15:V17" si="12">ROUNDDOWN(T15*S15,0)</f>
        <v>1</v>
      </c>
      <c r="W15" s="29">
        <f t="shared" ref="W15:W17" si="13">S15-V15</f>
        <v>0</v>
      </c>
      <c r="X15" s="21" t="str">
        <f>IF(Expenses[[#This Row],[%]]=1,"ja","nein")</f>
        <v>ja</v>
      </c>
      <c r="Y15" s="66">
        <v>698</v>
      </c>
      <c r="Z15" s="21">
        <v>42759</v>
      </c>
      <c r="AA15" s="21"/>
      <c r="AB15" s="21"/>
      <c r="AC15" s="21"/>
      <c r="AD15" s="21"/>
      <c r="AE15" s="21"/>
      <c r="AF15" s="21"/>
      <c r="AG15" s="21"/>
      <c r="AH15" s="21"/>
      <c r="AI15" s="21"/>
      <c r="AJ15" s="21"/>
      <c r="AK15" s="21"/>
      <c r="AL15" s="21"/>
      <c r="AM15" s="21"/>
      <c r="AN15" s="21"/>
      <c r="AO15" s="21"/>
      <c r="AP15" s="21"/>
      <c r="AQ15" s="21"/>
      <c r="AR15" s="21"/>
      <c r="AS15" s="21"/>
      <c r="AT15" s="21"/>
      <c r="AU15" s="21"/>
      <c r="AV15" s="21"/>
      <c r="AW15" s="21"/>
      <c r="AX15" s="21"/>
      <c r="AY15" s="21"/>
      <c r="AZ15" s="21"/>
      <c r="BA15" s="21"/>
      <c r="BB15" s="21"/>
      <c r="BC15" s="21"/>
      <c r="BD15" s="21"/>
      <c r="BE15" s="21"/>
      <c r="BF15" s="21"/>
      <c r="BG15" s="21"/>
      <c r="BH15" s="21"/>
      <c r="BI15" s="21"/>
      <c r="BJ15" s="21"/>
      <c r="BK15" s="21"/>
      <c r="BL15" s="21"/>
      <c r="BM15" s="21"/>
      <c r="BN15" s="21"/>
      <c r="BO15" s="21"/>
      <c r="BP15" s="21"/>
      <c r="BQ15" s="21"/>
      <c r="BR15" s="21"/>
      <c r="BS15" s="21"/>
      <c r="BT15" s="21"/>
      <c r="BU15" s="21"/>
      <c r="BV15" s="21"/>
      <c r="BW15" s="21"/>
      <c r="BX15" s="21"/>
      <c r="BY15" s="21"/>
      <c r="BZ15" s="21"/>
      <c r="CA15" s="21"/>
      <c r="CB15" s="21"/>
      <c r="CC15" s="21"/>
      <c r="CD15" s="21"/>
      <c r="CE15" s="21"/>
      <c r="CF15" s="21"/>
      <c r="CG15" s="21"/>
      <c r="CH15" s="21"/>
      <c r="CI15" s="21"/>
      <c r="CJ15" s="21"/>
      <c r="CK15" s="21"/>
      <c r="CL15" s="21"/>
      <c r="CM15" s="21"/>
      <c r="CN15" s="21"/>
      <c r="CO15" s="21"/>
      <c r="CP15" s="21"/>
      <c r="CQ15" s="21"/>
      <c r="CR15" s="21"/>
      <c r="CS15" s="21"/>
      <c r="CT15" s="21"/>
      <c r="CU15" s="21"/>
      <c r="CV15" s="21"/>
      <c r="CW15" s="21"/>
      <c r="CX15" s="21"/>
      <c r="CY15" s="21"/>
      <c r="CZ15" s="21"/>
      <c r="DA15" s="21"/>
      <c r="DB15" s="21"/>
      <c r="DC15" s="21"/>
      <c r="DD15" s="21"/>
      <c r="DE15" s="21"/>
      <c r="DF15" s="21"/>
      <c r="DG15" s="21"/>
      <c r="DH15" s="21"/>
      <c r="DI15" s="21"/>
      <c r="DJ15" s="21"/>
      <c r="DK15" s="21"/>
      <c r="DL15" s="21"/>
      <c r="DM15" s="21"/>
      <c r="DN15" s="21"/>
      <c r="DO15" s="21"/>
      <c r="DP15" s="21"/>
      <c r="DQ15" s="21"/>
      <c r="DR15" s="21"/>
      <c r="DS15" s="21"/>
      <c r="DT15" s="21"/>
      <c r="DU15" s="21"/>
      <c r="DV15" s="21"/>
      <c r="DW15" s="21"/>
      <c r="DX15" s="21"/>
      <c r="DY15" s="21"/>
      <c r="DZ15" s="21"/>
      <c r="EA15" s="21"/>
      <c r="EB15" s="21"/>
      <c r="EC15" s="21"/>
      <c r="ED15" s="21"/>
      <c r="EE15" s="21"/>
      <c r="EF15" s="21"/>
      <c r="EG15" s="21"/>
      <c r="EH15" s="21"/>
      <c r="EI15" s="21"/>
      <c r="EJ15" s="21"/>
      <c r="EK15" s="21"/>
      <c r="EL15" s="21"/>
      <c r="EM15" s="21"/>
      <c r="EN15" s="21"/>
      <c r="EO15" s="21"/>
      <c r="EP15" s="21"/>
      <c r="EQ15" s="21"/>
      <c r="ER15" s="21"/>
      <c r="ES15" s="21"/>
      <c r="ET15" s="21"/>
      <c r="EU15" s="21"/>
      <c r="EV15" s="21"/>
      <c r="EW15" s="21"/>
      <c r="EX15" s="21"/>
      <c r="EY15" s="21"/>
      <c r="EZ15" s="21"/>
      <c r="FA15" s="21"/>
      <c r="FB15" s="21"/>
      <c r="FC15" s="21"/>
      <c r="FD15" s="21"/>
      <c r="FE15" s="21"/>
      <c r="FF15" s="21"/>
      <c r="FG15" s="21"/>
      <c r="FH15" s="21"/>
      <c r="FI15" s="21"/>
      <c r="FJ15" s="21"/>
      <c r="FK15" s="21"/>
      <c r="FL15" s="21"/>
      <c r="FM15" s="21"/>
      <c r="FN15" s="21"/>
      <c r="FO15" s="21"/>
      <c r="FP15" s="21"/>
      <c r="FQ15" s="21"/>
      <c r="FR15" s="21"/>
      <c r="FS15" s="21"/>
      <c r="FT15" s="21"/>
      <c r="FU15" s="21"/>
      <c r="FV15" s="21"/>
      <c r="FW15" s="21"/>
      <c r="FX15" s="21"/>
      <c r="FY15" s="21"/>
      <c r="FZ15" s="21"/>
      <c r="GA15" s="21"/>
      <c r="GB15" s="21"/>
      <c r="GC15" s="21"/>
      <c r="GD15" s="21"/>
      <c r="GE15" s="21"/>
      <c r="GF15" s="21"/>
      <c r="GG15" s="21"/>
      <c r="GH15" s="21"/>
      <c r="GI15" s="21"/>
      <c r="GJ15" s="21"/>
      <c r="GK15" s="21"/>
      <c r="GL15" s="21"/>
      <c r="GM15" s="21"/>
      <c r="GN15" s="21"/>
      <c r="GO15" s="21"/>
      <c r="GP15" s="21"/>
      <c r="GQ15" s="21"/>
      <c r="GR15" s="21"/>
      <c r="GS15" s="21"/>
      <c r="GT15" s="21"/>
      <c r="GU15" s="21"/>
      <c r="GV15" s="21"/>
      <c r="GW15" s="21"/>
      <c r="GX15" s="21"/>
      <c r="GY15" s="21"/>
      <c r="GZ15" s="21"/>
      <c r="HA15" s="21"/>
      <c r="HB15" s="21"/>
      <c r="HC15" s="21"/>
      <c r="HD15" s="21"/>
      <c r="HE15" s="21"/>
      <c r="HF15" s="21"/>
      <c r="HG15" s="21"/>
      <c r="HH15" s="21"/>
      <c r="HI15" s="21"/>
      <c r="HJ15" s="21"/>
      <c r="HK15" s="21"/>
      <c r="HL15" s="21"/>
      <c r="HM15" s="21"/>
      <c r="HN15" s="21"/>
      <c r="HO15" s="21"/>
      <c r="HP15" s="21"/>
      <c r="HQ15" s="21"/>
      <c r="HR15" s="21"/>
      <c r="HS15" s="21"/>
      <c r="HT15" s="21"/>
      <c r="HU15" s="21"/>
      <c r="HV15" s="21"/>
      <c r="HW15" s="21"/>
      <c r="HX15" s="21"/>
      <c r="HY15" s="21"/>
      <c r="HZ15" s="21"/>
      <c r="IA15" s="21"/>
      <c r="IB15" s="21"/>
      <c r="IC15" s="21"/>
      <c r="ID15" s="21"/>
      <c r="IE15" s="21"/>
      <c r="IF15" s="21"/>
      <c r="IG15" s="21"/>
      <c r="IH15" s="21"/>
      <c r="II15" s="21"/>
      <c r="IJ15" s="21"/>
      <c r="IK15" s="21"/>
      <c r="IL15" s="21"/>
      <c r="IM15" s="21"/>
      <c r="IN15" s="21"/>
      <c r="IO15" s="21"/>
      <c r="IP15" s="21"/>
      <c r="IQ15" s="21"/>
      <c r="IR15" s="21"/>
      <c r="IS15" s="21"/>
      <c r="IT15" s="21"/>
      <c r="IU15" s="21"/>
      <c r="IV15" s="21"/>
      <c r="IW15" s="21"/>
      <c r="IX15" s="21"/>
      <c r="IY15" s="21"/>
      <c r="IZ15" s="21"/>
      <c r="JA15" s="21"/>
      <c r="JB15" s="21"/>
      <c r="JC15" s="21"/>
      <c r="JD15" s="74"/>
      <c r="JE15" s="26"/>
    </row>
    <row r="16" spans="1:265" outlineLevel="2" x14ac:dyDescent="0.35">
      <c r="A16" s="113" t="str">
        <f t="shared" ref="A16:A36" ca="1" si="14">IF(ISERROR(VALUE(SUBSTITUTE(OFFSET(A16,-1,0,1,1),".",""))),"0.1",IF(ISERROR(FIND("`",SUBSTITUTE(OFFSET(A16,-1,0,1,1),".","`",1))),OFFSET(A16,-1,0,1,1)&amp;".1",LEFT(OFFSET(A16,-1,0,1,1),FIND("`",SUBSTITUTE(OFFSET(A16,-1,0,1,1),".","`",1)))&amp;IF(ISERROR(FIND("`",SUBSTITUTE(OFFSET(A16,-1,0,1,1),".","`",2))),VALUE(RIGHT(OFFSET(A16,-1,0,1,1),LEN(OFFSET(A16,-1,0,1,1))-FIND("`",SUBSTITUTE(OFFSET(A16,-1,0,1,1),".","`",1))))+1,VALUE(MID(OFFSET(A16,-1,0,1,1),FIND("`",SUBSTITUTE(OFFSET(A16,-1,0,1,1),".","`",1))+1,(FIND("`",SUBSTITUTE(OFFSET(A16,-1,0,1,1),".","`",2))-FIND("`",SUBSTITUTE(OFFSET(A16,-1,0,1,1),".","`",1))-1)))+1)))</f>
        <v>2.1</v>
      </c>
      <c r="B16" s="56" t="s">
        <v>52</v>
      </c>
      <c r="C16" s="56" t="s">
        <v>58</v>
      </c>
      <c r="D16" s="56" t="s">
        <v>66</v>
      </c>
      <c r="E16" s="56"/>
      <c r="F16" s="57" t="s">
        <v>81</v>
      </c>
      <c r="G16" s="57"/>
      <c r="H16" s="82" t="s">
        <v>89</v>
      </c>
      <c r="I16" s="72"/>
      <c r="J16" s="72"/>
      <c r="K16" s="72" t="s">
        <v>99</v>
      </c>
      <c r="L16" s="120"/>
      <c r="M16" s="82"/>
      <c r="N16" s="82"/>
      <c r="O16" s="105"/>
      <c r="P16" s="84">
        <v>3</v>
      </c>
      <c r="Q16" s="86">
        <v>44805</v>
      </c>
      <c r="R16" s="86">
        <v>44805</v>
      </c>
      <c r="S16" s="88">
        <f t="shared" si="5"/>
        <v>1</v>
      </c>
      <c r="T16" s="87">
        <v>1</v>
      </c>
      <c r="U16" s="19">
        <f t="shared" si="11"/>
        <v>1</v>
      </c>
      <c r="V16" s="20">
        <f t="shared" si="12"/>
        <v>1</v>
      </c>
      <c r="W16" s="51">
        <f t="shared" si="13"/>
        <v>0</v>
      </c>
      <c r="X16" s="21" t="str">
        <f>IF(Expenses[[#This Row],[%]]=1,"ja","nein")</f>
        <v>ja</v>
      </c>
      <c r="Y16" s="66">
        <v>699</v>
      </c>
      <c r="Z16" s="21">
        <v>42711</v>
      </c>
      <c r="AA16" s="21"/>
      <c r="AB16" s="21"/>
      <c r="AC16" s="21"/>
      <c r="AD16" s="21"/>
      <c r="AE16" s="21"/>
      <c r="AF16" s="21"/>
      <c r="AG16" s="21"/>
      <c r="AH16" s="21"/>
      <c r="AI16" s="21"/>
      <c r="AJ16" s="21"/>
      <c r="AK16" s="21"/>
      <c r="AL16" s="21"/>
      <c r="AM16" s="21"/>
      <c r="AN16" s="21"/>
      <c r="AO16" s="21"/>
      <c r="AP16" s="21"/>
      <c r="AQ16" s="21"/>
      <c r="AR16" s="21"/>
      <c r="AS16" s="21"/>
      <c r="AT16" s="21"/>
      <c r="AU16" s="21"/>
      <c r="AV16" s="21"/>
      <c r="AW16" s="21"/>
      <c r="AX16" s="21"/>
      <c r="AY16" s="21"/>
      <c r="AZ16" s="21"/>
      <c r="BA16" s="21"/>
      <c r="BB16" s="21"/>
      <c r="BC16" s="21"/>
      <c r="BD16" s="21"/>
      <c r="BE16" s="21"/>
      <c r="BF16" s="21"/>
      <c r="BG16" s="21"/>
      <c r="BH16" s="21"/>
      <c r="BI16" s="21"/>
      <c r="BJ16" s="21"/>
      <c r="BK16" s="21"/>
      <c r="BL16" s="21"/>
      <c r="BM16" s="21"/>
      <c r="BN16" s="21"/>
      <c r="BO16" s="21"/>
      <c r="BP16" s="21"/>
      <c r="BQ16" s="21"/>
      <c r="BR16" s="21"/>
      <c r="BS16" s="21"/>
      <c r="BT16" s="21"/>
      <c r="BU16" s="21"/>
      <c r="BV16" s="21"/>
      <c r="BW16" s="21"/>
      <c r="BX16" s="21"/>
      <c r="BY16" s="21"/>
      <c r="BZ16" s="21"/>
      <c r="CA16" s="21"/>
      <c r="CB16" s="21"/>
      <c r="CC16" s="21"/>
      <c r="CD16" s="21"/>
      <c r="CE16" s="21"/>
      <c r="CF16" s="21"/>
      <c r="CG16" s="21"/>
      <c r="CH16" s="21"/>
      <c r="CI16" s="21"/>
      <c r="CJ16" s="21"/>
      <c r="CK16" s="21"/>
      <c r="CL16" s="21"/>
      <c r="CM16" s="21"/>
      <c r="CN16" s="21"/>
      <c r="CO16" s="21"/>
      <c r="CP16" s="21"/>
      <c r="CQ16" s="21"/>
      <c r="CR16" s="21"/>
      <c r="CS16" s="21"/>
      <c r="CT16" s="21"/>
      <c r="CU16" s="21"/>
      <c r="CV16" s="21"/>
      <c r="CW16" s="21"/>
      <c r="CX16" s="21"/>
      <c r="CY16" s="21"/>
      <c r="CZ16" s="21"/>
      <c r="DA16" s="21"/>
      <c r="DB16" s="21"/>
      <c r="DC16" s="21"/>
      <c r="DD16" s="21"/>
      <c r="DE16" s="21"/>
      <c r="DF16" s="21"/>
      <c r="DG16" s="21"/>
      <c r="DH16" s="21"/>
      <c r="DI16" s="21"/>
      <c r="DJ16" s="21"/>
      <c r="DK16" s="21"/>
      <c r="DL16" s="21"/>
      <c r="DM16" s="21"/>
      <c r="DN16" s="21"/>
      <c r="DO16" s="21"/>
      <c r="DP16" s="21"/>
      <c r="DQ16" s="21"/>
      <c r="DR16" s="21"/>
      <c r="DS16" s="21"/>
      <c r="DT16" s="21"/>
      <c r="DU16" s="21"/>
      <c r="DV16" s="21"/>
      <c r="DW16" s="21"/>
      <c r="DX16" s="21"/>
      <c r="DY16" s="21"/>
      <c r="DZ16" s="21"/>
      <c r="EA16" s="21"/>
      <c r="EB16" s="21"/>
      <c r="EC16" s="21"/>
      <c r="ED16" s="21"/>
      <c r="EE16" s="21"/>
      <c r="EF16" s="21"/>
      <c r="EG16" s="21"/>
      <c r="EH16" s="21"/>
      <c r="EI16" s="21"/>
      <c r="EJ16" s="21"/>
      <c r="EK16" s="21"/>
      <c r="EL16" s="21"/>
      <c r="EM16" s="21"/>
      <c r="EN16" s="21"/>
      <c r="EO16" s="21"/>
      <c r="EP16" s="21"/>
      <c r="EQ16" s="21"/>
      <c r="ER16" s="21"/>
      <c r="ES16" s="21"/>
      <c r="ET16" s="21"/>
      <c r="EU16" s="21"/>
      <c r="EV16" s="21"/>
      <c r="EW16" s="21"/>
      <c r="EX16" s="21"/>
      <c r="EY16" s="21"/>
      <c r="EZ16" s="21"/>
      <c r="FA16" s="21"/>
      <c r="FB16" s="21"/>
      <c r="FC16" s="21"/>
      <c r="FD16" s="21"/>
      <c r="FE16" s="21"/>
      <c r="FF16" s="21"/>
      <c r="FG16" s="21"/>
      <c r="FH16" s="21"/>
      <c r="FI16" s="21"/>
      <c r="FJ16" s="21"/>
      <c r="FK16" s="21"/>
      <c r="FL16" s="21"/>
      <c r="FM16" s="21"/>
      <c r="FN16" s="21"/>
      <c r="FO16" s="21"/>
      <c r="FP16" s="21"/>
      <c r="FQ16" s="21"/>
      <c r="FR16" s="21"/>
      <c r="FS16" s="21"/>
      <c r="FT16" s="21"/>
      <c r="FU16" s="21"/>
      <c r="FV16" s="21"/>
      <c r="FW16" s="21"/>
      <c r="FX16" s="21"/>
      <c r="FY16" s="21"/>
      <c r="FZ16" s="21"/>
      <c r="GA16" s="21"/>
      <c r="GB16" s="21"/>
      <c r="GC16" s="21"/>
      <c r="GD16" s="21"/>
      <c r="GE16" s="21"/>
      <c r="GF16" s="21"/>
      <c r="GG16" s="21"/>
      <c r="GH16" s="21"/>
      <c r="GI16" s="21"/>
      <c r="GJ16" s="21"/>
      <c r="GK16" s="21"/>
      <c r="GL16" s="21"/>
      <c r="GM16" s="21"/>
      <c r="GN16" s="21"/>
      <c r="GO16" s="21"/>
      <c r="GP16" s="21"/>
      <c r="GQ16" s="21"/>
      <c r="GR16" s="21"/>
      <c r="GS16" s="21"/>
      <c r="GT16" s="21"/>
      <c r="GU16" s="21"/>
      <c r="GV16" s="21"/>
      <c r="GW16" s="21"/>
      <c r="GX16" s="21"/>
      <c r="GY16" s="21"/>
      <c r="GZ16" s="21"/>
      <c r="HA16" s="21"/>
      <c r="HB16" s="21"/>
      <c r="HC16" s="21"/>
      <c r="HD16" s="21"/>
      <c r="HE16" s="21"/>
      <c r="HF16" s="21"/>
      <c r="HG16" s="21"/>
      <c r="HH16" s="21"/>
      <c r="HI16" s="21"/>
      <c r="HJ16" s="21"/>
      <c r="HK16" s="21"/>
      <c r="HL16" s="21"/>
      <c r="HM16" s="21"/>
      <c r="HN16" s="21"/>
      <c r="HO16" s="21"/>
      <c r="HP16" s="21"/>
      <c r="HQ16" s="21"/>
      <c r="HR16" s="21"/>
      <c r="HS16" s="21"/>
      <c r="HT16" s="21"/>
      <c r="HU16" s="21"/>
      <c r="HV16" s="21"/>
      <c r="HW16" s="21"/>
      <c r="HX16" s="21"/>
      <c r="HY16" s="21"/>
      <c r="HZ16" s="21"/>
      <c r="IA16" s="21"/>
      <c r="IB16" s="21"/>
      <c r="IC16" s="21"/>
      <c r="ID16" s="21"/>
      <c r="IE16" s="21"/>
      <c r="IF16" s="21"/>
      <c r="IG16" s="21"/>
      <c r="IH16" s="21"/>
      <c r="II16" s="21"/>
      <c r="IJ16" s="21"/>
      <c r="IK16" s="21"/>
      <c r="IL16" s="21"/>
      <c r="IM16" s="21"/>
      <c r="IN16" s="21"/>
      <c r="IO16" s="21"/>
      <c r="IP16" s="21"/>
      <c r="IQ16" s="21"/>
      <c r="IR16" s="21"/>
      <c r="IS16" s="21"/>
      <c r="IT16" s="21"/>
      <c r="IU16" s="21"/>
      <c r="IV16" s="21"/>
      <c r="IW16" s="21"/>
      <c r="IX16" s="21"/>
      <c r="IY16" s="21"/>
      <c r="IZ16" s="21"/>
      <c r="JA16" s="21"/>
      <c r="JB16" s="21"/>
      <c r="JC16" s="21"/>
      <c r="JD16" s="74"/>
      <c r="JE16" s="26"/>
    </row>
    <row r="17" spans="1:265" outlineLevel="2" x14ac:dyDescent="0.35">
      <c r="A17" s="113" t="str">
        <f t="shared" ca="1" si="14"/>
        <v>2.2</v>
      </c>
      <c r="B17" s="56" t="s">
        <v>53</v>
      </c>
      <c r="C17" s="56" t="s">
        <v>59</v>
      </c>
      <c r="D17" s="56" t="s">
        <v>67</v>
      </c>
      <c r="E17" s="56"/>
      <c r="F17" s="57" t="s">
        <v>83</v>
      </c>
      <c r="G17" s="57"/>
      <c r="H17" s="82" t="s">
        <v>92</v>
      </c>
      <c r="I17" s="72"/>
      <c r="J17" s="72"/>
      <c r="K17" s="72" t="s">
        <v>97</v>
      </c>
      <c r="L17" s="120"/>
      <c r="M17" s="82"/>
      <c r="N17" s="82"/>
      <c r="O17" s="103"/>
      <c r="P17" s="84"/>
      <c r="Q17" s="86">
        <v>44806</v>
      </c>
      <c r="R17" s="86">
        <v>44806</v>
      </c>
      <c r="S17" s="88">
        <f t="shared" si="5"/>
        <v>1</v>
      </c>
      <c r="T17" s="87">
        <v>1</v>
      </c>
      <c r="U17" s="19">
        <f t="shared" si="11"/>
        <v>1</v>
      </c>
      <c r="V17" s="20">
        <f t="shared" si="12"/>
        <v>1</v>
      </c>
      <c r="W17" s="51">
        <f t="shared" si="13"/>
        <v>0</v>
      </c>
      <c r="X17" s="21" t="str">
        <f>IF(Expenses[[#This Row],[%]]=1,"ja","nein")</f>
        <v>ja</v>
      </c>
      <c r="Y17" s="66">
        <v>702</v>
      </c>
      <c r="Z17" s="21">
        <v>42760</v>
      </c>
      <c r="AA17" s="21"/>
      <c r="AB17" s="21"/>
      <c r="AC17" s="21"/>
      <c r="AD17" s="21"/>
      <c r="AE17" s="21"/>
      <c r="AF17" s="21"/>
      <c r="AG17" s="21"/>
      <c r="AH17" s="21"/>
      <c r="AI17" s="21"/>
      <c r="AJ17" s="21"/>
      <c r="AK17" s="21"/>
      <c r="AL17" s="21"/>
      <c r="AM17" s="21"/>
      <c r="AN17" s="21"/>
      <c r="AO17" s="21"/>
      <c r="AP17" s="21"/>
      <c r="AQ17" s="21"/>
      <c r="AR17" s="21"/>
      <c r="AS17" s="21"/>
      <c r="AT17" s="21"/>
      <c r="AU17" s="21"/>
      <c r="AV17" s="21"/>
      <c r="AW17" s="21"/>
      <c r="AX17" s="21"/>
      <c r="AY17" s="21"/>
      <c r="AZ17" s="21"/>
      <c r="BA17" s="21"/>
      <c r="BB17" s="21"/>
      <c r="BC17" s="21"/>
      <c r="BD17" s="21"/>
      <c r="BE17" s="21"/>
      <c r="BF17" s="21"/>
      <c r="BG17" s="21"/>
      <c r="BH17" s="21"/>
      <c r="BI17" s="21"/>
      <c r="BJ17" s="21"/>
      <c r="BK17" s="21"/>
      <c r="BL17" s="21"/>
      <c r="BM17" s="21"/>
      <c r="BN17" s="21"/>
      <c r="BO17" s="21"/>
      <c r="BP17" s="21"/>
      <c r="BQ17" s="21"/>
      <c r="BR17" s="21"/>
      <c r="BS17" s="21"/>
      <c r="BT17" s="21"/>
      <c r="BU17" s="21"/>
      <c r="BV17" s="21"/>
      <c r="BW17" s="21"/>
      <c r="BX17" s="21"/>
      <c r="BY17" s="21"/>
      <c r="BZ17" s="21"/>
      <c r="CA17" s="21"/>
      <c r="CB17" s="21"/>
      <c r="CC17" s="21"/>
      <c r="CD17" s="21"/>
      <c r="CE17" s="21"/>
      <c r="CF17" s="21"/>
      <c r="CG17" s="21"/>
      <c r="CH17" s="21"/>
      <c r="CI17" s="21"/>
      <c r="CJ17" s="21"/>
      <c r="CK17" s="21"/>
      <c r="CL17" s="21"/>
      <c r="CM17" s="21"/>
      <c r="CN17" s="21"/>
      <c r="CO17" s="21"/>
      <c r="CP17" s="21"/>
      <c r="CQ17" s="21"/>
      <c r="CR17" s="21"/>
      <c r="CS17" s="21"/>
      <c r="CT17" s="21"/>
      <c r="CU17" s="21"/>
      <c r="CV17" s="21"/>
      <c r="CW17" s="21"/>
      <c r="CX17" s="21"/>
      <c r="CY17" s="21"/>
      <c r="CZ17" s="21"/>
      <c r="DA17" s="21"/>
      <c r="DB17" s="21"/>
      <c r="DC17" s="21"/>
      <c r="DD17" s="21"/>
      <c r="DE17" s="21"/>
      <c r="DF17" s="21"/>
      <c r="DG17" s="21"/>
      <c r="DH17" s="21"/>
      <c r="DI17" s="21"/>
      <c r="DJ17" s="21"/>
      <c r="DK17" s="21"/>
      <c r="DL17" s="21"/>
      <c r="DM17" s="21"/>
      <c r="DN17" s="21"/>
      <c r="DO17" s="21"/>
      <c r="DP17" s="21"/>
      <c r="DQ17" s="21"/>
      <c r="DR17" s="21"/>
      <c r="DS17" s="21"/>
      <c r="DT17" s="21"/>
      <c r="DU17" s="21"/>
      <c r="DV17" s="21"/>
      <c r="DW17" s="21"/>
      <c r="DX17" s="21"/>
      <c r="DY17" s="21"/>
      <c r="DZ17" s="21"/>
      <c r="EA17" s="21"/>
      <c r="EB17" s="21"/>
      <c r="EC17" s="21"/>
      <c r="ED17" s="21"/>
      <c r="EE17" s="21"/>
      <c r="EF17" s="21"/>
      <c r="EG17" s="21"/>
      <c r="EH17" s="21"/>
      <c r="EI17" s="21"/>
      <c r="EJ17" s="21"/>
      <c r="EK17" s="21"/>
      <c r="EL17" s="21"/>
      <c r="EM17" s="21"/>
      <c r="EN17" s="21"/>
      <c r="EO17" s="21"/>
      <c r="EP17" s="21"/>
      <c r="EQ17" s="21"/>
      <c r="ER17" s="21"/>
      <c r="ES17" s="21"/>
      <c r="ET17" s="21"/>
      <c r="EU17" s="21"/>
      <c r="EV17" s="21"/>
      <c r="EW17" s="21"/>
      <c r="EX17" s="21"/>
      <c r="EY17" s="21"/>
      <c r="EZ17" s="21"/>
      <c r="FA17" s="21"/>
      <c r="FB17" s="21"/>
      <c r="FC17" s="21"/>
      <c r="FD17" s="21"/>
      <c r="FE17" s="21"/>
      <c r="FF17" s="21"/>
      <c r="FG17" s="21"/>
      <c r="FH17" s="21"/>
      <c r="FI17" s="21"/>
      <c r="FJ17" s="21"/>
      <c r="FK17" s="21"/>
      <c r="FL17" s="21"/>
      <c r="FM17" s="21"/>
      <c r="FN17" s="21"/>
      <c r="FO17" s="21"/>
      <c r="FP17" s="21"/>
      <c r="FQ17" s="21"/>
      <c r="FR17" s="21"/>
      <c r="FS17" s="21"/>
      <c r="FT17" s="21"/>
      <c r="FU17" s="21"/>
      <c r="FV17" s="21"/>
      <c r="FW17" s="21"/>
      <c r="FX17" s="21"/>
      <c r="FY17" s="21"/>
      <c r="FZ17" s="21"/>
      <c r="GA17" s="21"/>
      <c r="GB17" s="21"/>
      <c r="GC17" s="21"/>
      <c r="GD17" s="21"/>
      <c r="GE17" s="21"/>
      <c r="GF17" s="21"/>
      <c r="GG17" s="21"/>
      <c r="GH17" s="21"/>
      <c r="GI17" s="21"/>
      <c r="GJ17" s="21"/>
      <c r="GK17" s="21"/>
      <c r="GL17" s="21"/>
      <c r="GM17" s="21"/>
      <c r="GN17" s="21"/>
      <c r="GO17" s="21"/>
      <c r="GP17" s="21"/>
      <c r="GQ17" s="21"/>
      <c r="GR17" s="21"/>
      <c r="GS17" s="21"/>
      <c r="GT17" s="21"/>
      <c r="GU17" s="21"/>
      <c r="GV17" s="21"/>
      <c r="GW17" s="21"/>
      <c r="GX17" s="21"/>
      <c r="GY17" s="21"/>
      <c r="GZ17" s="21"/>
      <c r="HA17" s="21"/>
      <c r="HB17" s="21"/>
      <c r="HC17" s="21"/>
      <c r="HD17" s="21"/>
      <c r="HE17" s="21"/>
      <c r="HF17" s="21"/>
      <c r="HG17" s="21"/>
      <c r="HH17" s="21"/>
      <c r="HI17" s="21"/>
      <c r="HJ17" s="21"/>
      <c r="HK17" s="21"/>
      <c r="HL17" s="21"/>
      <c r="HM17" s="21"/>
      <c r="HN17" s="21"/>
      <c r="HO17" s="21"/>
      <c r="HP17" s="21"/>
      <c r="HQ17" s="21"/>
      <c r="HR17" s="21"/>
      <c r="HS17" s="21"/>
      <c r="HT17" s="21"/>
      <c r="HU17" s="21"/>
      <c r="HV17" s="21"/>
      <c r="HW17" s="21"/>
      <c r="HX17" s="21"/>
      <c r="HY17" s="21"/>
      <c r="HZ17" s="21"/>
      <c r="IA17" s="21"/>
      <c r="IB17" s="21"/>
      <c r="IC17" s="21"/>
      <c r="ID17" s="21"/>
      <c r="IE17" s="21"/>
      <c r="IF17" s="21"/>
      <c r="IG17" s="21"/>
      <c r="IH17" s="21"/>
      <c r="II17" s="21"/>
      <c r="IJ17" s="21"/>
      <c r="IK17" s="21"/>
      <c r="IL17" s="21"/>
      <c r="IM17" s="21"/>
      <c r="IN17" s="21"/>
      <c r="IO17" s="21"/>
      <c r="IP17" s="21"/>
      <c r="IQ17" s="21"/>
      <c r="IR17" s="21"/>
      <c r="IS17" s="21"/>
      <c r="IT17" s="21"/>
      <c r="IU17" s="21"/>
      <c r="IV17" s="21"/>
      <c r="IW17" s="21"/>
      <c r="IX17" s="21"/>
      <c r="IY17" s="21"/>
      <c r="IZ17" s="21"/>
      <c r="JA17" s="21"/>
      <c r="JB17" s="21"/>
      <c r="JC17" s="21"/>
      <c r="JD17" s="74"/>
      <c r="JE17" s="26"/>
    </row>
    <row r="18" spans="1:265" x14ac:dyDescent="0.35">
      <c r="A18" s="112">
        <v>3</v>
      </c>
      <c r="B18" s="59" t="s">
        <v>46</v>
      </c>
      <c r="C18" s="55"/>
      <c r="D18" s="93" t="e">
        <f t="array" ref="D18">IF(OR(EXACT($O$8,#REF!))=TRUE,$O$8,"f")</f>
        <v>#REF!</v>
      </c>
      <c r="E18" s="55"/>
      <c r="F18" s="55"/>
      <c r="G18" s="55"/>
      <c r="H18" s="58"/>
      <c r="I18" s="58"/>
      <c r="J18" s="58"/>
      <c r="K18" s="58"/>
      <c r="L18" s="121"/>
      <c r="M18" s="58"/>
      <c r="N18" s="58"/>
      <c r="O18" s="104"/>
      <c r="P18" s="78"/>
      <c r="Q18" s="90">
        <f>MIN(Q19:Q24)</f>
        <v>44713</v>
      </c>
      <c r="R18" s="90">
        <f>MAX(R19:R24)</f>
        <v>44925</v>
      </c>
      <c r="S18" s="91">
        <f>IF(R18-Q18=0,1,R18-Q18)</f>
        <v>212</v>
      </c>
      <c r="T18" s="92">
        <f>SUMPRODUCT(S19:S24,T19:T24)/SUM(S19:S24)</f>
        <v>0.72542372881355921</v>
      </c>
      <c r="U18" s="19">
        <f t="shared" ref="U18:U28" si="15">NETWORKDAYS(Q18,R18)</f>
        <v>153</v>
      </c>
      <c r="V18" s="20">
        <f t="shared" ref="V18:V28" si="16">ROUNDDOWN(T18*S18,0)</f>
        <v>153</v>
      </c>
      <c r="W18" s="51">
        <f t="shared" ref="W18:W28" si="17">S18-V18</f>
        <v>59</v>
      </c>
      <c r="X18" s="67" t="str">
        <f>IF(Expenses[[#This Row],[%]]=1,"ja","nein")</f>
        <v>nein</v>
      </c>
      <c r="Y18" s="66"/>
      <c r="Z18" s="21"/>
      <c r="AA18" s="21"/>
      <c r="AB18" s="21"/>
      <c r="AC18" s="21"/>
      <c r="AD18" s="21"/>
      <c r="AE18" s="21"/>
      <c r="AF18" s="21"/>
      <c r="AG18" s="21"/>
      <c r="AH18" s="21"/>
      <c r="AI18" s="21"/>
      <c r="AJ18" s="21"/>
      <c r="AK18" s="21"/>
      <c r="AL18" s="21"/>
      <c r="AM18" s="21"/>
      <c r="AN18" s="21"/>
      <c r="AO18" s="21"/>
      <c r="AP18" s="21"/>
      <c r="AQ18" s="21"/>
      <c r="AR18" s="21"/>
      <c r="AS18" s="21"/>
      <c r="AT18" s="21"/>
      <c r="AU18" s="21"/>
      <c r="AV18" s="21"/>
      <c r="AW18" s="21"/>
      <c r="AX18" s="21"/>
      <c r="AY18" s="21"/>
      <c r="AZ18" s="21"/>
      <c r="BA18" s="21"/>
      <c r="BB18" s="21"/>
      <c r="BC18" s="21"/>
      <c r="BD18" s="21"/>
      <c r="BE18" s="21"/>
      <c r="BF18" s="21"/>
      <c r="BG18" s="21"/>
      <c r="BH18" s="21"/>
      <c r="BI18" s="21"/>
      <c r="BJ18" s="21"/>
      <c r="BK18" s="21"/>
      <c r="BL18" s="21"/>
      <c r="BM18" s="21"/>
      <c r="BN18" s="21"/>
      <c r="BO18" s="21"/>
      <c r="BP18" s="21"/>
      <c r="BQ18" s="21"/>
      <c r="BR18" s="21"/>
      <c r="BS18" s="21"/>
      <c r="BT18" s="21"/>
      <c r="BU18" s="21"/>
      <c r="BV18" s="21"/>
      <c r="BW18" s="21"/>
      <c r="BX18" s="21"/>
      <c r="BY18" s="21"/>
      <c r="BZ18" s="21"/>
      <c r="CA18" s="21"/>
      <c r="CB18" s="21"/>
      <c r="CC18" s="21"/>
      <c r="CD18" s="21"/>
      <c r="CE18" s="21"/>
      <c r="CF18" s="21"/>
      <c r="CG18" s="21"/>
      <c r="CH18" s="21"/>
      <c r="CI18" s="21"/>
      <c r="CJ18" s="21"/>
      <c r="CK18" s="21"/>
      <c r="CL18" s="21"/>
      <c r="CM18" s="21"/>
      <c r="CN18" s="21"/>
      <c r="CO18" s="21"/>
      <c r="CP18" s="21"/>
      <c r="CQ18" s="21"/>
      <c r="CR18" s="21"/>
      <c r="CS18" s="21"/>
      <c r="CT18" s="21"/>
      <c r="CU18" s="21"/>
      <c r="CV18" s="21"/>
      <c r="CW18" s="21"/>
      <c r="CX18" s="21"/>
      <c r="CY18" s="21"/>
      <c r="CZ18" s="21"/>
      <c r="DA18" s="21"/>
      <c r="DB18" s="21"/>
      <c r="DC18" s="21"/>
      <c r="DD18" s="21"/>
      <c r="DE18" s="21"/>
      <c r="DF18" s="21"/>
      <c r="DG18" s="21"/>
      <c r="DH18" s="21"/>
      <c r="DI18" s="21"/>
      <c r="DJ18" s="21"/>
      <c r="DK18" s="21"/>
      <c r="DL18" s="21"/>
      <c r="DM18" s="21"/>
      <c r="DN18" s="21"/>
      <c r="DO18" s="21"/>
      <c r="DP18" s="21"/>
      <c r="DQ18" s="21"/>
      <c r="DR18" s="21"/>
      <c r="DS18" s="21"/>
      <c r="DT18" s="21"/>
      <c r="DU18" s="21"/>
      <c r="DV18" s="21"/>
      <c r="DW18" s="21"/>
      <c r="DX18" s="21"/>
      <c r="DY18" s="21"/>
      <c r="DZ18" s="21"/>
      <c r="EA18" s="21"/>
      <c r="EB18" s="21"/>
      <c r="EC18" s="21"/>
      <c r="ED18" s="21"/>
      <c r="EE18" s="21"/>
      <c r="EF18" s="21"/>
      <c r="EG18" s="21"/>
      <c r="EH18" s="21"/>
      <c r="EI18" s="21"/>
      <c r="EJ18" s="21"/>
      <c r="EK18" s="21"/>
      <c r="EL18" s="21"/>
      <c r="EM18" s="21"/>
      <c r="EN18" s="21"/>
      <c r="EO18" s="21"/>
      <c r="EP18" s="21"/>
      <c r="EQ18" s="21"/>
      <c r="ER18" s="21"/>
      <c r="ES18" s="21"/>
      <c r="ET18" s="21"/>
      <c r="EU18" s="21"/>
      <c r="EV18" s="21"/>
      <c r="EW18" s="21"/>
      <c r="EX18" s="21"/>
      <c r="EY18" s="21"/>
      <c r="EZ18" s="21"/>
      <c r="FA18" s="21"/>
      <c r="FB18" s="21"/>
      <c r="FC18" s="21"/>
      <c r="FD18" s="21"/>
      <c r="FE18" s="21"/>
      <c r="FF18" s="21"/>
      <c r="FG18" s="21"/>
      <c r="FH18" s="21"/>
      <c r="FI18" s="21"/>
      <c r="FJ18" s="21"/>
      <c r="FK18" s="21"/>
      <c r="FL18" s="21"/>
      <c r="FM18" s="21"/>
      <c r="FN18" s="21"/>
      <c r="FO18" s="21"/>
      <c r="FP18" s="21"/>
      <c r="FQ18" s="21"/>
      <c r="FR18" s="21"/>
      <c r="FS18" s="21"/>
      <c r="FT18" s="21"/>
      <c r="FU18" s="21"/>
      <c r="FV18" s="21"/>
      <c r="FW18" s="21"/>
      <c r="FX18" s="21"/>
      <c r="FY18" s="21"/>
      <c r="FZ18" s="21"/>
      <c r="GA18" s="21"/>
      <c r="GB18" s="21"/>
      <c r="GC18" s="21"/>
      <c r="GD18" s="21"/>
      <c r="GE18" s="21"/>
      <c r="GF18" s="21"/>
      <c r="GG18" s="21"/>
      <c r="GH18" s="21"/>
      <c r="GI18" s="21"/>
      <c r="GJ18" s="21"/>
      <c r="GK18" s="21"/>
      <c r="GL18" s="21"/>
      <c r="GM18" s="21"/>
      <c r="GN18" s="21"/>
      <c r="GO18" s="21"/>
      <c r="GP18" s="21"/>
      <c r="GQ18" s="21"/>
      <c r="GR18" s="21"/>
      <c r="GS18" s="21"/>
      <c r="GT18" s="21"/>
      <c r="GU18" s="21"/>
      <c r="GV18" s="21"/>
      <c r="GW18" s="21"/>
      <c r="GX18" s="21"/>
      <c r="GY18" s="21"/>
      <c r="GZ18" s="21"/>
      <c r="HA18" s="21"/>
      <c r="HB18" s="21"/>
      <c r="HC18" s="21"/>
      <c r="HD18" s="21"/>
      <c r="HE18" s="21"/>
      <c r="HF18" s="21"/>
      <c r="HG18" s="21"/>
      <c r="HH18" s="21"/>
      <c r="HI18" s="21"/>
      <c r="HJ18" s="21"/>
      <c r="HK18" s="21"/>
      <c r="HL18" s="21"/>
      <c r="HM18" s="21"/>
      <c r="HN18" s="21"/>
      <c r="HO18" s="21"/>
      <c r="HP18" s="21"/>
      <c r="HQ18" s="21"/>
      <c r="HR18" s="21"/>
      <c r="HS18" s="21"/>
      <c r="HT18" s="21"/>
      <c r="HU18" s="21"/>
      <c r="HV18" s="21"/>
      <c r="HW18" s="21"/>
      <c r="HX18" s="21"/>
      <c r="HY18" s="21"/>
      <c r="HZ18" s="21"/>
      <c r="IA18" s="21"/>
      <c r="IB18" s="21"/>
      <c r="IC18" s="21"/>
      <c r="ID18" s="21"/>
      <c r="IE18" s="21"/>
      <c r="IF18" s="21"/>
      <c r="IG18" s="21"/>
      <c r="IH18" s="21"/>
      <c r="II18" s="21"/>
      <c r="IJ18" s="21"/>
      <c r="IK18" s="21"/>
      <c r="IL18" s="21"/>
      <c r="IM18" s="21"/>
      <c r="IN18" s="21"/>
      <c r="IO18" s="21"/>
      <c r="IP18" s="21"/>
      <c r="IQ18" s="21"/>
      <c r="IR18" s="21"/>
      <c r="IS18" s="21"/>
      <c r="IT18" s="21"/>
      <c r="IU18" s="21"/>
      <c r="IV18" s="21"/>
      <c r="IW18" s="21"/>
      <c r="IX18" s="21"/>
      <c r="IY18" s="21"/>
      <c r="IZ18" s="21"/>
      <c r="JA18" s="21"/>
      <c r="JB18" s="21"/>
      <c r="JC18" s="21"/>
      <c r="JD18" s="74"/>
      <c r="JE18" s="26"/>
    </row>
    <row r="19" spans="1:265" x14ac:dyDescent="0.35">
      <c r="A19" s="113" t="str">
        <f t="shared" ca="1" si="14"/>
        <v>3.1</v>
      </c>
      <c r="B19" s="56" t="s">
        <v>52</v>
      </c>
      <c r="C19" s="56" t="s">
        <v>58</v>
      </c>
      <c r="D19" s="56" t="s">
        <v>68</v>
      </c>
      <c r="E19" s="56"/>
      <c r="F19" s="57" t="s">
        <v>81</v>
      </c>
      <c r="G19" s="60"/>
      <c r="H19" s="82" t="s">
        <v>89</v>
      </c>
      <c r="I19" s="81"/>
      <c r="J19" s="81"/>
      <c r="K19" s="72" t="s">
        <v>99</v>
      </c>
      <c r="L19" s="122"/>
      <c r="M19" s="83"/>
      <c r="N19" s="82"/>
      <c r="O19" s="103"/>
      <c r="P19" s="85">
        <v>4</v>
      </c>
      <c r="Q19" s="86">
        <v>44713</v>
      </c>
      <c r="R19" s="86">
        <v>44925</v>
      </c>
      <c r="S19" s="88">
        <f t="shared" ref="S19" si="18">IF(R19-Q19=0,1,R19-Q19)</f>
        <v>212</v>
      </c>
      <c r="T19" s="89">
        <v>0.7</v>
      </c>
      <c r="U19" s="131">
        <f>NETWORKDAYS(Q19,R19)</f>
        <v>153</v>
      </c>
      <c r="V19" s="133">
        <f>ROUNDDOWN(T19*S19,0)</f>
        <v>148</v>
      </c>
      <c r="W19" s="134">
        <f>S19-V19</f>
        <v>64</v>
      </c>
      <c r="X19" s="135" t="str">
        <f>IF(Expenses[[#This Row],[%]]=1,"ja","nein")</f>
        <v>nein</v>
      </c>
      <c r="Y19" s="136"/>
      <c r="Z19" s="137"/>
      <c r="AA19" s="21"/>
      <c r="AB19" s="21"/>
      <c r="AC19" s="21"/>
      <c r="AD19" s="21"/>
      <c r="AE19" s="21"/>
      <c r="AF19" s="21"/>
      <c r="AG19" s="21"/>
      <c r="AH19" s="21"/>
      <c r="AI19" s="21"/>
      <c r="AJ19" s="21"/>
      <c r="AK19" s="21"/>
      <c r="AL19" s="21"/>
      <c r="AM19" s="21"/>
      <c r="AN19" s="21"/>
      <c r="AO19" s="21"/>
      <c r="AP19" s="21"/>
      <c r="AQ19" s="21"/>
      <c r="AR19" s="21"/>
      <c r="AS19" s="21"/>
      <c r="AT19" s="21"/>
      <c r="AU19" s="21"/>
      <c r="AV19" s="21"/>
      <c r="AW19" s="21"/>
      <c r="AX19" s="21"/>
      <c r="AY19" s="21"/>
      <c r="AZ19" s="21"/>
      <c r="BA19" s="21"/>
      <c r="BB19" s="21"/>
      <c r="BC19" s="21"/>
      <c r="BD19" s="21"/>
      <c r="BE19" s="21"/>
      <c r="BF19" s="21"/>
      <c r="BG19" s="21"/>
      <c r="BH19" s="21"/>
      <c r="BI19" s="21"/>
      <c r="BJ19" s="21"/>
      <c r="BK19" s="21"/>
      <c r="BL19" s="21"/>
      <c r="BM19" s="21"/>
      <c r="BN19" s="21"/>
      <c r="BO19" s="21"/>
      <c r="BP19" s="21"/>
      <c r="BQ19" s="21"/>
      <c r="BR19" s="21"/>
      <c r="BS19" s="21"/>
      <c r="BT19" s="21"/>
      <c r="BU19" s="21"/>
      <c r="BV19" s="21"/>
      <c r="BW19" s="21"/>
      <c r="BX19" s="21"/>
      <c r="BY19" s="21"/>
      <c r="BZ19" s="21"/>
      <c r="CA19" s="21"/>
      <c r="CB19" s="21"/>
      <c r="CC19" s="21"/>
      <c r="CD19" s="21"/>
      <c r="CE19" s="21"/>
      <c r="CF19" s="21"/>
      <c r="CG19" s="21"/>
      <c r="CH19" s="21"/>
      <c r="CI19" s="21"/>
      <c r="CJ19" s="21"/>
      <c r="CK19" s="21"/>
      <c r="CL19" s="21"/>
      <c r="CM19" s="21"/>
      <c r="CN19" s="21"/>
      <c r="CO19" s="21"/>
      <c r="CP19" s="21"/>
      <c r="CQ19" s="21"/>
      <c r="CR19" s="21"/>
      <c r="CS19" s="21"/>
      <c r="CT19" s="21"/>
      <c r="CU19" s="21"/>
      <c r="CV19" s="21"/>
      <c r="CW19" s="21"/>
      <c r="CX19" s="21"/>
      <c r="CY19" s="21"/>
      <c r="CZ19" s="21"/>
      <c r="DA19" s="21"/>
      <c r="DB19" s="21"/>
      <c r="DC19" s="21"/>
      <c r="DD19" s="21"/>
      <c r="DE19" s="21"/>
      <c r="DF19" s="21"/>
      <c r="DG19" s="21"/>
      <c r="DH19" s="21"/>
      <c r="DI19" s="21"/>
      <c r="DJ19" s="21"/>
      <c r="DK19" s="21"/>
      <c r="DL19" s="21"/>
      <c r="DM19" s="21"/>
      <c r="DN19" s="21"/>
      <c r="DO19" s="21"/>
      <c r="DP19" s="21"/>
      <c r="DQ19" s="21"/>
      <c r="DR19" s="21"/>
      <c r="DS19" s="21"/>
      <c r="DT19" s="21"/>
      <c r="DU19" s="21"/>
      <c r="DV19" s="21"/>
      <c r="DW19" s="21"/>
      <c r="DX19" s="21"/>
      <c r="DY19" s="21"/>
      <c r="DZ19" s="21"/>
      <c r="EA19" s="21"/>
      <c r="EB19" s="21"/>
      <c r="EC19" s="21"/>
      <c r="ED19" s="21"/>
      <c r="EE19" s="21"/>
      <c r="EF19" s="21"/>
      <c r="EG19" s="21"/>
      <c r="EH19" s="21"/>
      <c r="EI19" s="21"/>
      <c r="EJ19" s="21"/>
      <c r="EK19" s="21"/>
      <c r="EL19" s="21"/>
      <c r="EM19" s="21"/>
      <c r="EN19" s="21"/>
      <c r="EO19" s="21"/>
      <c r="EP19" s="21"/>
      <c r="EQ19" s="21"/>
      <c r="ER19" s="21"/>
      <c r="ES19" s="21"/>
      <c r="ET19" s="21"/>
      <c r="EU19" s="21"/>
      <c r="EV19" s="21"/>
      <c r="EW19" s="21"/>
      <c r="EX19" s="21"/>
      <c r="EY19" s="21"/>
      <c r="EZ19" s="21"/>
      <c r="FA19" s="21"/>
      <c r="FB19" s="21"/>
      <c r="FC19" s="21"/>
      <c r="FD19" s="21"/>
      <c r="FE19" s="21"/>
      <c r="FF19" s="21"/>
      <c r="FG19" s="21"/>
      <c r="FH19" s="21"/>
      <c r="FI19" s="21"/>
      <c r="FJ19" s="21"/>
      <c r="FK19" s="21"/>
      <c r="FL19" s="21"/>
      <c r="FM19" s="21"/>
      <c r="FN19" s="21"/>
      <c r="FO19" s="21"/>
      <c r="FP19" s="21"/>
      <c r="FQ19" s="21"/>
      <c r="FR19" s="21"/>
      <c r="FS19" s="21"/>
      <c r="FT19" s="21"/>
      <c r="FU19" s="21"/>
      <c r="FV19" s="21"/>
      <c r="FW19" s="21"/>
      <c r="FX19" s="21"/>
      <c r="FY19" s="21"/>
      <c r="FZ19" s="21"/>
      <c r="GA19" s="21"/>
      <c r="GB19" s="21"/>
      <c r="GC19" s="21"/>
      <c r="GD19" s="21"/>
      <c r="GE19" s="21"/>
      <c r="GF19" s="21"/>
      <c r="GG19" s="21"/>
      <c r="GH19" s="21"/>
      <c r="GI19" s="21"/>
      <c r="GJ19" s="21"/>
      <c r="GK19" s="21"/>
      <c r="GL19" s="21"/>
      <c r="GM19" s="21"/>
      <c r="GN19" s="21"/>
      <c r="GO19" s="21"/>
      <c r="GP19" s="21"/>
      <c r="GQ19" s="21"/>
      <c r="GR19" s="21"/>
      <c r="GS19" s="21"/>
      <c r="GT19" s="21"/>
      <c r="GU19" s="21"/>
      <c r="GV19" s="21"/>
      <c r="GW19" s="21"/>
      <c r="GX19" s="21"/>
      <c r="GY19" s="21"/>
      <c r="GZ19" s="21"/>
      <c r="HA19" s="21"/>
      <c r="HB19" s="21"/>
      <c r="HC19" s="21"/>
      <c r="HD19" s="21"/>
      <c r="HE19" s="21"/>
      <c r="HF19" s="21"/>
      <c r="HG19" s="21"/>
      <c r="HH19" s="21"/>
      <c r="HI19" s="21"/>
      <c r="HJ19" s="21"/>
      <c r="HK19" s="21"/>
      <c r="HL19" s="21"/>
      <c r="HM19" s="21"/>
      <c r="HN19" s="21"/>
      <c r="HO19" s="21"/>
      <c r="HP19" s="21"/>
      <c r="HQ19" s="21"/>
      <c r="HR19" s="21"/>
      <c r="HS19" s="21"/>
      <c r="HT19" s="21"/>
      <c r="HU19" s="21"/>
      <c r="HV19" s="21"/>
      <c r="HW19" s="21"/>
      <c r="HX19" s="21"/>
      <c r="HY19" s="21"/>
      <c r="HZ19" s="21"/>
      <c r="IA19" s="21"/>
      <c r="IB19" s="21"/>
      <c r="IC19" s="21"/>
      <c r="ID19" s="21"/>
      <c r="IE19" s="21"/>
      <c r="IF19" s="21"/>
      <c r="IG19" s="21"/>
      <c r="IH19" s="21"/>
      <c r="II19" s="21"/>
      <c r="IJ19" s="21"/>
      <c r="IK19" s="21"/>
      <c r="IL19" s="21"/>
      <c r="IM19" s="21"/>
      <c r="IN19" s="21"/>
      <c r="IO19" s="21"/>
      <c r="IP19" s="21"/>
      <c r="IQ19" s="21"/>
      <c r="IR19" s="21"/>
      <c r="IS19" s="21"/>
      <c r="IT19" s="21"/>
      <c r="IU19" s="21"/>
      <c r="IV19" s="21"/>
      <c r="IW19" s="21"/>
      <c r="IX19" s="21"/>
      <c r="IY19" s="21"/>
      <c r="IZ19" s="21"/>
      <c r="JA19" s="21"/>
      <c r="JB19" s="21"/>
      <c r="JC19" s="21"/>
      <c r="JD19" s="74"/>
      <c r="JE19" s="26"/>
    </row>
    <row r="20" spans="1:265" x14ac:dyDescent="0.35">
      <c r="A20" s="113" t="str">
        <f t="shared" ca="1" si="14"/>
        <v>3.2</v>
      </c>
      <c r="B20" s="56" t="s">
        <v>53</v>
      </c>
      <c r="C20" s="56" t="s">
        <v>59</v>
      </c>
      <c r="D20" s="56" t="s">
        <v>69</v>
      </c>
      <c r="E20" s="56"/>
      <c r="F20" s="57" t="s">
        <v>83</v>
      </c>
      <c r="G20" s="60"/>
      <c r="H20" s="82" t="s">
        <v>40</v>
      </c>
      <c r="I20" s="81"/>
      <c r="J20" s="81"/>
      <c r="K20" s="72" t="s">
        <v>98</v>
      </c>
      <c r="L20" s="122"/>
      <c r="M20" s="83"/>
      <c r="N20" s="82"/>
      <c r="O20" s="103"/>
      <c r="P20" s="85">
        <v>4</v>
      </c>
      <c r="Q20" s="86">
        <v>44816</v>
      </c>
      <c r="R20" s="86">
        <v>44841</v>
      </c>
      <c r="S20" s="88">
        <f t="shared" ref="S20:S25" si="19">IF(R20-Q20=0,1,R20-Q20)</f>
        <v>25</v>
      </c>
      <c r="T20" s="89">
        <v>1</v>
      </c>
      <c r="U20" s="19">
        <f>NETWORKDAYS(Q20,R20)</f>
        <v>20</v>
      </c>
      <c r="V20" s="20">
        <f>ROUNDDOWN(T20*S20,0)</f>
        <v>25</v>
      </c>
      <c r="W20" s="51">
        <f>S20-V20</f>
        <v>0</v>
      </c>
      <c r="X20" s="67" t="str">
        <f>IF(Expenses[[#This Row],[%]]=1,"ja","nein")</f>
        <v>ja</v>
      </c>
      <c r="Y20" s="66"/>
      <c r="Z20" s="21"/>
      <c r="AA20" s="21"/>
      <c r="AB20" s="21"/>
      <c r="AC20" s="21"/>
      <c r="AD20" s="21"/>
      <c r="AE20" s="21"/>
      <c r="AF20" s="21"/>
      <c r="AG20" s="21"/>
      <c r="AH20" s="21"/>
      <c r="AI20" s="21"/>
      <c r="AJ20" s="21"/>
      <c r="AK20" s="21"/>
      <c r="AL20" s="21"/>
      <c r="AM20" s="21"/>
      <c r="AN20" s="21"/>
      <c r="AO20" s="21"/>
      <c r="AP20" s="21"/>
      <c r="AQ20" s="21"/>
      <c r="AR20" s="21"/>
      <c r="AS20" s="21"/>
      <c r="AT20" s="21"/>
      <c r="AU20" s="21"/>
      <c r="AV20" s="21"/>
      <c r="AW20" s="21"/>
      <c r="AX20" s="21"/>
      <c r="AY20" s="21"/>
      <c r="AZ20" s="21"/>
      <c r="BA20" s="21"/>
      <c r="BB20" s="21"/>
      <c r="BC20" s="21"/>
      <c r="BD20" s="21"/>
      <c r="BE20" s="21"/>
      <c r="BF20" s="21"/>
      <c r="BG20" s="21"/>
      <c r="BH20" s="21"/>
      <c r="BI20" s="21"/>
      <c r="BJ20" s="21"/>
      <c r="BK20" s="21"/>
      <c r="BL20" s="21"/>
      <c r="BM20" s="21"/>
      <c r="BN20" s="21"/>
      <c r="BO20" s="21"/>
      <c r="BP20" s="21"/>
      <c r="BQ20" s="21"/>
      <c r="BR20" s="21"/>
      <c r="BS20" s="21"/>
      <c r="BT20" s="21"/>
      <c r="BU20" s="21"/>
      <c r="BV20" s="21"/>
      <c r="BW20" s="21"/>
      <c r="BX20" s="21"/>
      <c r="BY20" s="21"/>
      <c r="BZ20" s="21"/>
      <c r="CA20" s="21"/>
      <c r="CB20" s="21"/>
      <c r="CC20" s="21"/>
      <c r="CD20" s="21"/>
      <c r="CE20" s="21"/>
      <c r="CF20" s="21"/>
      <c r="CG20" s="21"/>
      <c r="CH20" s="21"/>
      <c r="CI20" s="21"/>
      <c r="CJ20" s="21"/>
      <c r="CK20" s="21"/>
      <c r="CL20" s="21"/>
      <c r="CM20" s="21"/>
      <c r="CN20" s="21"/>
      <c r="CO20" s="21"/>
      <c r="CP20" s="21"/>
      <c r="CQ20" s="21"/>
      <c r="CR20" s="21"/>
      <c r="CS20" s="21"/>
      <c r="CT20" s="21"/>
      <c r="CU20" s="21"/>
      <c r="CV20" s="21"/>
      <c r="CW20" s="21"/>
      <c r="CX20" s="21"/>
      <c r="CY20" s="21"/>
      <c r="CZ20" s="21"/>
      <c r="DA20" s="21"/>
      <c r="DB20" s="21"/>
      <c r="DC20" s="21"/>
      <c r="DD20" s="21"/>
      <c r="DE20" s="21"/>
      <c r="DF20" s="21"/>
      <c r="DG20" s="21"/>
      <c r="DH20" s="21"/>
      <c r="DI20" s="21"/>
      <c r="DJ20" s="21"/>
      <c r="DK20" s="21"/>
      <c r="DL20" s="21"/>
      <c r="DM20" s="21"/>
      <c r="DN20" s="21"/>
      <c r="DO20" s="21"/>
      <c r="DP20" s="21"/>
      <c r="DQ20" s="21"/>
      <c r="DR20" s="21"/>
      <c r="DS20" s="21"/>
      <c r="DT20" s="21"/>
      <c r="DU20" s="21"/>
      <c r="DV20" s="21"/>
      <c r="DW20" s="21"/>
      <c r="DX20" s="21"/>
      <c r="DY20" s="21"/>
      <c r="DZ20" s="21"/>
      <c r="EA20" s="21"/>
      <c r="EB20" s="21"/>
      <c r="EC20" s="21"/>
      <c r="ED20" s="21"/>
      <c r="EE20" s="21"/>
      <c r="EF20" s="21"/>
      <c r="EG20" s="21"/>
      <c r="EH20" s="21"/>
      <c r="EI20" s="21"/>
      <c r="EJ20" s="21"/>
      <c r="EK20" s="21"/>
      <c r="EL20" s="21"/>
      <c r="EM20" s="21"/>
      <c r="EN20" s="21"/>
      <c r="EO20" s="21"/>
      <c r="EP20" s="21"/>
      <c r="EQ20" s="21"/>
      <c r="ER20" s="21"/>
      <c r="ES20" s="21"/>
      <c r="ET20" s="21"/>
      <c r="EU20" s="21"/>
      <c r="EV20" s="21"/>
      <c r="EW20" s="21"/>
      <c r="EX20" s="21"/>
      <c r="EY20" s="21"/>
      <c r="EZ20" s="21"/>
      <c r="FA20" s="21"/>
      <c r="FB20" s="21"/>
      <c r="FC20" s="21"/>
      <c r="FD20" s="21"/>
      <c r="FE20" s="21"/>
      <c r="FF20" s="21"/>
      <c r="FG20" s="21"/>
      <c r="FH20" s="21"/>
      <c r="FI20" s="21"/>
      <c r="FJ20" s="21"/>
      <c r="FK20" s="21"/>
      <c r="FL20" s="21"/>
      <c r="FM20" s="21"/>
      <c r="FN20" s="21"/>
      <c r="FO20" s="21"/>
      <c r="FP20" s="21"/>
      <c r="FQ20" s="21"/>
      <c r="FR20" s="21"/>
      <c r="FS20" s="21"/>
      <c r="FT20" s="21"/>
      <c r="FU20" s="21"/>
      <c r="FV20" s="21"/>
      <c r="FW20" s="21"/>
      <c r="FX20" s="21"/>
      <c r="FY20" s="21"/>
      <c r="FZ20" s="21"/>
      <c r="GA20" s="21"/>
      <c r="GB20" s="21"/>
      <c r="GC20" s="21"/>
      <c r="GD20" s="21"/>
      <c r="GE20" s="21"/>
      <c r="GF20" s="21"/>
      <c r="GG20" s="21"/>
      <c r="GH20" s="21"/>
      <c r="GI20" s="21"/>
      <c r="GJ20" s="21"/>
      <c r="GK20" s="21"/>
      <c r="GL20" s="21"/>
      <c r="GM20" s="21"/>
      <c r="GN20" s="21"/>
      <c r="GO20" s="21"/>
      <c r="GP20" s="21"/>
      <c r="GQ20" s="21"/>
      <c r="GR20" s="21"/>
      <c r="GS20" s="21"/>
      <c r="GT20" s="21"/>
      <c r="GU20" s="21"/>
      <c r="GV20" s="21"/>
      <c r="GW20" s="21"/>
      <c r="GX20" s="21"/>
      <c r="GY20" s="21"/>
      <c r="GZ20" s="21"/>
      <c r="HA20" s="21"/>
      <c r="HB20" s="21"/>
      <c r="HC20" s="21"/>
      <c r="HD20" s="21"/>
      <c r="HE20" s="21"/>
      <c r="HF20" s="21"/>
      <c r="HG20" s="21"/>
      <c r="HH20" s="21"/>
      <c r="HI20" s="21"/>
      <c r="HJ20" s="21"/>
      <c r="HK20" s="21"/>
      <c r="HL20" s="21"/>
      <c r="HM20" s="21"/>
      <c r="HN20" s="21"/>
      <c r="HO20" s="21"/>
      <c r="HP20" s="21"/>
      <c r="HQ20" s="21"/>
      <c r="HR20" s="21"/>
      <c r="HS20" s="21"/>
      <c r="HT20" s="21"/>
      <c r="HU20" s="21"/>
      <c r="HV20" s="21"/>
      <c r="HW20" s="21"/>
      <c r="HX20" s="21"/>
      <c r="HY20" s="21"/>
      <c r="HZ20" s="21"/>
      <c r="IA20" s="21"/>
      <c r="IB20" s="21"/>
      <c r="IC20" s="21"/>
      <c r="ID20" s="21"/>
      <c r="IE20" s="21"/>
      <c r="IF20" s="21"/>
      <c r="IG20" s="21"/>
      <c r="IH20" s="21"/>
      <c r="II20" s="21"/>
      <c r="IJ20" s="21"/>
      <c r="IK20" s="21"/>
      <c r="IL20" s="21"/>
      <c r="IM20" s="21"/>
      <c r="IN20" s="21"/>
      <c r="IO20" s="21"/>
      <c r="IP20" s="21"/>
      <c r="IQ20" s="21"/>
      <c r="IR20" s="21"/>
      <c r="IS20" s="21"/>
      <c r="IT20" s="21"/>
      <c r="IU20" s="21"/>
      <c r="IV20" s="21"/>
      <c r="IW20" s="21"/>
      <c r="IX20" s="21"/>
      <c r="IY20" s="21"/>
      <c r="IZ20" s="21"/>
      <c r="JA20" s="21"/>
      <c r="JB20" s="21"/>
      <c r="JC20" s="21"/>
      <c r="JD20" s="74"/>
      <c r="JE20" s="26"/>
    </row>
    <row r="21" spans="1:265" x14ac:dyDescent="0.35">
      <c r="A21" s="113" t="str">
        <f t="shared" ca="1" si="14"/>
        <v>3.3</v>
      </c>
      <c r="B21" s="56" t="s">
        <v>54</v>
      </c>
      <c r="C21" s="56" t="s">
        <v>60</v>
      </c>
      <c r="D21" s="56" t="s">
        <v>70</v>
      </c>
      <c r="E21" s="56"/>
      <c r="F21" s="57" t="s">
        <v>84</v>
      </c>
      <c r="G21" s="60"/>
      <c r="H21" s="82" t="s">
        <v>40</v>
      </c>
      <c r="I21" s="81"/>
      <c r="J21" s="81"/>
      <c r="K21" s="72" t="s">
        <v>101</v>
      </c>
      <c r="L21" s="122"/>
      <c r="M21" s="83"/>
      <c r="N21" s="82"/>
      <c r="O21" s="149"/>
      <c r="P21" s="85">
        <v>4</v>
      </c>
      <c r="Q21" s="86">
        <v>44819</v>
      </c>
      <c r="R21" s="86">
        <v>44827</v>
      </c>
      <c r="S21" s="88">
        <f t="shared" si="19"/>
        <v>8</v>
      </c>
      <c r="T21" s="89">
        <v>1</v>
      </c>
      <c r="U21" s="19">
        <f>NETWORKDAYS(Q21,R21)</f>
        <v>7</v>
      </c>
      <c r="V21" s="20">
        <f>ROUNDDOWN(T21*S21,0)</f>
        <v>8</v>
      </c>
      <c r="W21" s="51">
        <f>S21-V21</f>
        <v>0</v>
      </c>
      <c r="X21" s="67" t="str">
        <f>IF(Expenses[[#This Row],[%]]=1,"ja","nein")</f>
        <v>ja</v>
      </c>
      <c r="Y21" s="66"/>
      <c r="Z21" s="21"/>
      <c r="AA21" s="21"/>
      <c r="AB21" s="21"/>
      <c r="AC21" s="21"/>
      <c r="AD21" s="21"/>
      <c r="AE21" s="21"/>
      <c r="AF21" s="21"/>
      <c r="AG21" s="21"/>
      <c r="AH21" s="21"/>
      <c r="AI21" s="21"/>
      <c r="AJ21" s="21"/>
      <c r="AK21" s="21"/>
      <c r="AL21" s="21"/>
      <c r="AM21" s="21"/>
      <c r="AN21" s="21"/>
      <c r="AO21" s="21"/>
      <c r="AP21" s="21"/>
      <c r="AQ21" s="21"/>
      <c r="AR21" s="21"/>
      <c r="AS21" s="21"/>
      <c r="AT21" s="21"/>
      <c r="AU21" s="21"/>
      <c r="AV21" s="21"/>
      <c r="AW21" s="21"/>
      <c r="AX21" s="21"/>
      <c r="AY21" s="21"/>
      <c r="AZ21" s="21"/>
      <c r="BA21" s="21"/>
      <c r="BB21" s="21"/>
      <c r="BC21" s="21"/>
      <c r="BD21" s="21"/>
      <c r="BE21" s="21"/>
      <c r="BF21" s="21"/>
      <c r="BG21" s="21"/>
      <c r="BH21" s="21"/>
      <c r="BI21" s="21"/>
      <c r="BJ21" s="21"/>
      <c r="BK21" s="21"/>
      <c r="BL21" s="21"/>
      <c r="BM21" s="21"/>
      <c r="BN21" s="21"/>
      <c r="BO21" s="21"/>
      <c r="BP21" s="21"/>
      <c r="BQ21" s="21"/>
      <c r="BR21" s="21"/>
      <c r="BS21" s="21"/>
      <c r="BT21" s="21"/>
      <c r="BU21" s="21"/>
      <c r="BV21" s="21"/>
      <c r="BW21" s="21"/>
      <c r="BX21" s="21"/>
      <c r="BY21" s="21"/>
      <c r="BZ21" s="21"/>
      <c r="CA21" s="21"/>
      <c r="CB21" s="21"/>
      <c r="CC21" s="21"/>
      <c r="CD21" s="21"/>
      <c r="CE21" s="21"/>
      <c r="CF21" s="21"/>
      <c r="CG21" s="21"/>
      <c r="CH21" s="21"/>
      <c r="CI21" s="21"/>
      <c r="CJ21" s="21"/>
      <c r="CK21" s="21"/>
      <c r="CL21" s="21"/>
      <c r="CM21" s="21"/>
      <c r="CN21" s="21"/>
      <c r="CO21" s="21"/>
      <c r="CP21" s="21"/>
      <c r="CQ21" s="21"/>
      <c r="CR21" s="21"/>
      <c r="CS21" s="21"/>
      <c r="CT21" s="21"/>
      <c r="CU21" s="21"/>
      <c r="CV21" s="21"/>
      <c r="CW21" s="21"/>
      <c r="CX21" s="21"/>
      <c r="CY21" s="21"/>
      <c r="CZ21" s="21"/>
      <c r="DA21" s="21"/>
      <c r="DB21" s="21"/>
      <c r="DC21" s="21"/>
      <c r="DD21" s="21"/>
      <c r="DE21" s="21"/>
      <c r="DF21" s="21"/>
      <c r="DG21" s="21"/>
      <c r="DH21" s="21"/>
      <c r="DI21" s="21"/>
      <c r="DJ21" s="21"/>
      <c r="DK21" s="21"/>
      <c r="DL21" s="21"/>
      <c r="DM21" s="21"/>
      <c r="DN21" s="21"/>
      <c r="DO21" s="21"/>
      <c r="DP21" s="21"/>
      <c r="DQ21" s="21"/>
      <c r="DR21" s="21"/>
      <c r="DS21" s="21"/>
      <c r="DT21" s="21"/>
      <c r="DU21" s="21"/>
      <c r="DV21" s="21"/>
      <c r="DW21" s="21"/>
      <c r="DX21" s="21"/>
      <c r="DY21" s="21"/>
      <c r="DZ21" s="21"/>
      <c r="EA21" s="21"/>
      <c r="EB21" s="21"/>
      <c r="EC21" s="21"/>
      <c r="ED21" s="21"/>
      <c r="EE21" s="21"/>
      <c r="EF21" s="21"/>
      <c r="EG21" s="21"/>
      <c r="EH21" s="21"/>
      <c r="EI21" s="21"/>
      <c r="EJ21" s="21"/>
      <c r="EK21" s="21"/>
      <c r="EL21" s="21"/>
      <c r="EM21" s="21"/>
      <c r="EN21" s="21"/>
      <c r="EO21" s="21"/>
      <c r="EP21" s="21"/>
      <c r="EQ21" s="21"/>
      <c r="ER21" s="21"/>
      <c r="ES21" s="21"/>
      <c r="ET21" s="21"/>
      <c r="EU21" s="21"/>
      <c r="EV21" s="21"/>
      <c r="EW21" s="21"/>
      <c r="EX21" s="21"/>
      <c r="EY21" s="21"/>
      <c r="EZ21" s="21"/>
      <c r="FA21" s="21"/>
      <c r="FB21" s="21"/>
      <c r="FC21" s="21"/>
      <c r="FD21" s="21"/>
      <c r="FE21" s="21"/>
      <c r="FF21" s="21"/>
      <c r="FG21" s="21"/>
      <c r="FH21" s="21"/>
      <c r="FI21" s="21"/>
      <c r="FJ21" s="21"/>
      <c r="FK21" s="21"/>
      <c r="FL21" s="21"/>
      <c r="FM21" s="21"/>
      <c r="FN21" s="21"/>
      <c r="FO21" s="21"/>
      <c r="FP21" s="21"/>
      <c r="FQ21" s="21"/>
      <c r="FR21" s="21"/>
      <c r="FS21" s="21"/>
      <c r="FT21" s="21"/>
      <c r="FU21" s="21"/>
      <c r="FV21" s="21"/>
      <c r="FW21" s="21"/>
      <c r="FX21" s="21"/>
      <c r="FY21" s="21"/>
      <c r="FZ21" s="21"/>
      <c r="GA21" s="21"/>
      <c r="GB21" s="21"/>
      <c r="GC21" s="21"/>
      <c r="GD21" s="21"/>
      <c r="GE21" s="21"/>
      <c r="GF21" s="21"/>
      <c r="GG21" s="21"/>
      <c r="GH21" s="21"/>
      <c r="GI21" s="21"/>
      <c r="GJ21" s="21"/>
      <c r="GK21" s="21"/>
      <c r="GL21" s="21"/>
      <c r="GM21" s="21"/>
      <c r="GN21" s="21"/>
      <c r="GO21" s="21"/>
      <c r="GP21" s="21"/>
      <c r="GQ21" s="21"/>
      <c r="GR21" s="21"/>
      <c r="GS21" s="21"/>
      <c r="GT21" s="21"/>
      <c r="GU21" s="21"/>
      <c r="GV21" s="21"/>
      <c r="GW21" s="21"/>
      <c r="GX21" s="21"/>
      <c r="GY21" s="21"/>
      <c r="GZ21" s="21"/>
      <c r="HA21" s="21"/>
      <c r="HB21" s="21"/>
      <c r="HC21" s="21"/>
      <c r="HD21" s="21"/>
      <c r="HE21" s="21"/>
      <c r="HF21" s="21"/>
      <c r="HG21" s="21"/>
      <c r="HH21" s="21"/>
      <c r="HI21" s="21"/>
      <c r="HJ21" s="21"/>
      <c r="HK21" s="21"/>
      <c r="HL21" s="21"/>
      <c r="HM21" s="21"/>
      <c r="HN21" s="21"/>
      <c r="HO21" s="21"/>
      <c r="HP21" s="21"/>
      <c r="HQ21" s="21"/>
      <c r="HR21" s="21"/>
      <c r="HS21" s="21"/>
      <c r="HT21" s="21"/>
      <c r="HU21" s="21"/>
      <c r="HV21" s="21"/>
      <c r="HW21" s="21"/>
      <c r="HX21" s="21"/>
      <c r="HY21" s="21"/>
      <c r="HZ21" s="21"/>
      <c r="IA21" s="21"/>
      <c r="IB21" s="21"/>
      <c r="IC21" s="21"/>
      <c r="ID21" s="21"/>
      <c r="IE21" s="21"/>
      <c r="IF21" s="21"/>
      <c r="IG21" s="21"/>
      <c r="IH21" s="21"/>
      <c r="II21" s="21"/>
      <c r="IJ21" s="21"/>
      <c r="IK21" s="21"/>
      <c r="IL21" s="21"/>
      <c r="IM21" s="21"/>
      <c r="IN21" s="21"/>
      <c r="IO21" s="21"/>
      <c r="IP21" s="21"/>
      <c r="IQ21" s="21"/>
      <c r="IR21" s="21"/>
      <c r="IS21" s="21"/>
      <c r="IT21" s="21"/>
      <c r="IU21" s="21"/>
      <c r="IV21" s="21"/>
      <c r="IW21" s="21"/>
      <c r="IX21" s="21"/>
      <c r="IY21" s="21"/>
      <c r="IZ21" s="21"/>
      <c r="JA21" s="21"/>
      <c r="JB21" s="21"/>
      <c r="JC21" s="21"/>
      <c r="JD21" s="74"/>
      <c r="JE21" s="26"/>
    </row>
    <row r="22" spans="1:265" x14ac:dyDescent="0.35">
      <c r="A22" s="113" t="str">
        <f t="shared" ca="1" si="14"/>
        <v>3.4</v>
      </c>
      <c r="B22" s="56" t="s">
        <v>55</v>
      </c>
      <c r="C22" s="56" t="s">
        <v>61</v>
      </c>
      <c r="D22" s="56" t="s">
        <v>71</v>
      </c>
      <c r="E22" s="56"/>
      <c r="F22" s="57" t="s">
        <v>85</v>
      </c>
      <c r="G22" s="60"/>
      <c r="H22" s="82" t="s">
        <v>90</v>
      </c>
      <c r="I22" s="81"/>
      <c r="J22" s="81"/>
      <c r="K22" s="72" t="s">
        <v>97</v>
      </c>
      <c r="L22" s="122"/>
      <c r="M22" s="83"/>
      <c r="N22" s="82"/>
      <c r="O22" s="149"/>
      <c r="P22" s="85">
        <v>1</v>
      </c>
      <c r="Q22" s="86">
        <v>44844</v>
      </c>
      <c r="R22" s="86">
        <v>44844</v>
      </c>
      <c r="S22" s="88">
        <f t="shared" si="19"/>
        <v>1</v>
      </c>
      <c r="T22" s="89">
        <v>0</v>
      </c>
      <c r="U22" s="19">
        <f>NETWORKDAYS(Q22,R22)</f>
        <v>1</v>
      </c>
      <c r="V22" s="20">
        <f>ROUNDDOWN(T22*S22,0)</f>
        <v>0</v>
      </c>
      <c r="W22" s="51">
        <f>S22-V22</f>
        <v>1</v>
      </c>
      <c r="X22" s="67" t="str">
        <f>IF(Expenses[[#This Row],[%]]=1,"ja","nein")</f>
        <v>nein</v>
      </c>
      <c r="Y22" s="66"/>
      <c r="Z22" s="21"/>
      <c r="AA22" s="21"/>
      <c r="AB22" s="21"/>
      <c r="AC22" s="21"/>
      <c r="AD22" s="21"/>
      <c r="AE22" s="21"/>
      <c r="AF22" s="21"/>
      <c r="AG22" s="21"/>
      <c r="AH22" s="21"/>
      <c r="AI22" s="21"/>
      <c r="AJ22" s="21"/>
      <c r="AK22" s="21"/>
      <c r="AL22" s="21"/>
      <c r="AM22" s="21"/>
      <c r="AN22" s="21"/>
      <c r="AO22" s="21"/>
      <c r="AP22" s="21"/>
      <c r="AQ22" s="21"/>
      <c r="AR22" s="21"/>
      <c r="AS22" s="21"/>
      <c r="AT22" s="21"/>
      <c r="AU22" s="21"/>
      <c r="AV22" s="21"/>
      <c r="AW22" s="21"/>
      <c r="AX22" s="21"/>
      <c r="AY22" s="21"/>
      <c r="AZ22" s="21"/>
      <c r="BA22" s="21"/>
      <c r="BB22" s="21"/>
      <c r="BC22" s="21"/>
      <c r="BD22" s="21"/>
      <c r="BE22" s="21"/>
      <c r="BF22" s="21"/>
      <c r="BG22" s="21"/>
      <c r="BH22" s="21"/>
      <c r="BI22" s="21"/>
      <c r="BJ22" s="21"/>
      <c r="BK22" s="21"/>
      <c r="BL22" s="21"/>
      <c r="BM22" s="21"/>
      <c r="BN22" s="21"/>
      <c r="BO22" s="21"/>
      <c r="BP22" s="21"/>
      <c r="BQ22" s="21"/>
      <c r="BR22" s="21"/>
      <c r="BS22" s="21"/>
      <c r="BT22" s="21"/>
      <c r="BU22" s="21"/>
      <c r="BV22" s="21"/>
      <c r="BW22" s="21"/>
      <c r="BX22" s="21"/>
      <c r="BY22" s="21"/>
      <c r="BZ22" s="21"/>
      <c r="CA22" s="21"/>
      <c r="CB22" s="21"/>
      <c r="CC22" s="21"/>
      <c r="CD22" s="21"/>
      <c r="CE22" s="21"/>
      <c r="CF22" s="21"/>
      <c r="CG22" s="21"/>
      <c r="CH22" s="21"/>
      <c r="CI22" s="21"/>
      <c r="CJ22" s="21"/>
      <c r="CK22" s="21"/>
      <c r="CL22" s="21"/>
      <c r="CM22" s="21"/>
      <c r="CN22" s="21"/>
      <c r="CO22" s="21"/>
      <c r="CP22" s="21"/>
      <c r="CQ22" s="21"/>
      <c r="CR22" s="21"/>
      <c r="CS22" s="21"/>
      <c r="CT22" s="21"/>
      <c r="CU22" s="21"/>
      <c r="CV22" s="21"/>
      <c r="CW22" s="21"/>
      <c r="CX22" s="21"/>
      <c r="CY22" s="21"/>
      <c r="CZ22" s="21"/>
      <c r="DA22" s="21"/>
      <c r="DB22" s="21"/>
      <c r="DC22" s="21"/>
      <c r="DD22" s="21"/>
      <c r="DE22" s="21"/>
      <c r="DF22" s="21"/>
      <c r="DG22" s="21"/>
      <c r="DH22" s="21"/>
      <c r="DI22" s="21"/>
      <c r="DJ22" s="21"/>
      <c r="DK22" s="21"/>
      <c r="DL22" s="21"/>
      <c r="DM22" s="21"/>
      <c r="DN22" s="21"/>
      <c r="DO22" s="21"/>
      <c r="DP22" s="21"/>
      <c r="DQ22" s="21"/>
      <c r="DR22" s="21"/>
      <c r="DS22" s="21"/>
      <c r="DT22" s="21"/>
      <c r="DU22" s="21"/>
      <c r="DV22" s="21"/>
      <c r="DW22" s="21"/>
      <c r="DX22" s="21"/>
      <c r="DY22" s="21"/>
      <c r="DZ22" s="21"/>
      <c r="EA22" s="21"/>
      <c r="EB22" s="21"/>
      <c r="EC22" s="21"/>
      <c r="ED22" s="21"/>
      <c r="EE22" s="21"/>
      <c r="EF22" s="21"/>
      <c r="EG22" s="21"/>
      <c r="EH22" s="21"/>
      <c r="EI22" s="21"/>
      <c r="EJ22" s="21"/>
      <c r="EK22" s="21"/>
      <c r="EL22" s="21"/>
      <c r="EM22" s="21"/>
      <c r="EN22" s="21"/>
      <c r="EO22" s="21"/>
      <c r="EP22" s="21"/>
      <c r="EQ22" s="21"/>
      <c r="ER22" s="21"/>
      <c r="ES22" s="21"/>
      <c r="ET22" s="21"/>
      <c r="EU22" s="21"/>
      <c r="EV22" s="21"/>
      <c r="EW22" s="21"/>
      <c r="EX22" s="21"/>
      <c r="EY22" s="21"/>
      <c r="EZ22" s="21"/>
      <c r="FA22" s="21"/>
      <c r="FB22" s="21"/>
      <c r="FC22" s="21"/>
      <c r="FD22" s="21"/>
      <c r="FE22" s="21"/>
      <c r="FF22" s="21"/>
      <c r="FG22" s="21"/>
      <c r="FH22" s="21"/>
      <c r="FI22" s="21"/>
      <c r="FJ22" s="21"/>
      <c r="FK22" s="21"/>
      <c r="FL22" s="21"/>
      <c r="FM22" s="21"/>
      <c r="FN22" s="21"/>
      <c r="FO22" s="21"/>
      <c r="FP22" s="21"/>
      <c r="FQ22" s="21"/>
      <c r="FR22" s="21"/>
      <c r="FS22" s="21"/>
      <c r="FT22" s="21"/>
      <c r="FU22" s="21"/>
      <c r="FV22" s="21"/>
      <c r="FW22" s="21"/>
      <c r="FX22" s="21"/>
      <c r="FY22" s="21"/>
      <c r="FZ22" s="21"/>
      <c r="GA22" s="21"/>
      <c r="GB22" s="21"/>
      <c r="GC22" s="21"/>
      <c r="GD22" s="21"/>
      <c r="GE22" s="21"/>
      <c r="GF22" s="21"/>
      <c r="GG22" s="21"/>
      <c r="GH22" s="21"/>
      <c r="GI22" s="21"/>
      <c r="GJ22" s="21"/>
      <c r="GK22" s="21"/>
      <c r="GL22" s="21"/>
      <c r="GM22" s="21"/>
      <c r="GN22" s="21"/>
      <c r="GO22" s="21"/>
      <c r="GP22" s="21"/>
      <c r="GQ22" s="21"/>
      <c r="GR22" s="21"/>
      <c r="GS22" s="21"/>
      <c r="GT22" s="21"/>
      <c r="GU22" s="21"/>
      <c r="GV22" s="21"/>
      <c r="GW22" s="21"/>
      <c r="GX22" s="21"/>
      <c r="GY22" s="21"/>
      <c r="GZ22" s="21"/>
      <c r="HA22" s="21"/>
      <c r="HB22" s="21"/>
      <c r="HC22" s="21"/>
      <c r="HD22" s="21"/>
      <c r="HE22" s="21"/>
      <c r="HF22" s="21"/>
      <c r="HG22" s="21"/>
      <c r="HH22" s="21"/>
      <c r="HI22" s="21"/>
      <c r="HJ22" s="21"/>
      <c r="HK22" s="21"/>
      <c r="HL22" s="21"/>
      <c r="HM22" s="21"/>
      <c r="HN22" s="21"/>
      <c r="HO22" s="21"/>
      <c r="HP22" s="21"/>
      <c r="HQ22" s="21"/>
      <c r="HR22" s="21"/>
      <c r="HS22" s="21"/>
      <c r="HT22" s="21"/>
      <c r="HU22" s="21"/>
      <c r="HV22" s="21"/>
      <c r="HW22" s="21"/>
      <c r="HX22" s="21"/>
      <c r="HY22" s="21"/>
      <c r="HZ22" s="21"/>
      <c r="IA22" s="21"/>
      <c r="IB22" s="21"/>
      <c r="IC22" s="21"/>
      <c r="ID22" s="21"/>
      <c r="IE22" s="21"/>
      <c r="IF22" s="21"/>
      <c r="IG22" s="21"/>
      <c r="IH22" s="21"/>
      <c r="II22" s="21"/>
      <c r="IJ22" s="21"/>
      <c r="IK22" s="21"/>
      <c r="IL22" s="21"/>
      <c r="IM22" s="21"/>
      <c r="IN22" s="21"/>
      <c r="IO22" s="21"/>
      <c r="IP22" s="21"/>
      <c r="IQ22" s="21"/>
      <c r="IR22" s="21"/>
      <c r="IS22" s="21"/>
      <c r="IT22" s="21"/>
      <c r="IU22" s="21"/>
      <c r="IV22" s="21"/>
      <c r="IW22" s="21"/>
      <c r="IX22" s="21"/>
      <c r="IY22" s="21"/>
      <c r="IZ22" s="21"/>
      <c r="JA22" s="21"/>
      <c r="JB22" s="21"/>
      <c r="JC22" s="21"/>
      <c r="JD22" s="74"/>
      <c r="JE22" s="26"/>
    </row>
    <row r="23" spans="1:265" x14ac:dyDescent="0.35">
      <c r="A23" s="113" t="str">
        <f t="shared" ca="1" si="14"/>
        <v>3.5</v>
      </c>
      <c r="B23" s="56" t="s">
        <v>56</v>
      </c>
      <c r="C23" s="56" t="s">
        <v>62</v>
      </c>
      <c r="D23" s="56" t="s">
        <v>72</v>
      </c>
      <c r="E23" s="56"/>
      <c r="F23" s="57" t="s">
        <v>86</v>
      </c>
      <c r="G23" s="60"/>
      <c r="H23" s="82" t="s">
        <v>40</v>
      </c>
      <c r="I23" s="81"/>
      <c r="J23" s="81"/>
      <c r="K23" s="72" t="s">
        <v>102</v>
      </c>
      <c r="L23" s="122"/>
      <c r="M23" s="83"/>
      <c r="N23" s="82"/>
      <c r="O23" s="149"/>
      <c r="P23" s="85">
        <v>2</v>
      </c>
      <c r="Q23" s="86">
        <v>44824</v>
      </c>
      <c r="R23" s="86">
        <v>44865</v>
      </c>
      <c r="S23" s="88">
        <f t="shared" si="19"/>
        <v>41</v>
      </c>
      <c r="T23" s="89">
        <v>0.6</v>
      </c>
      <c r="U23" s="19">
        <f>NETWORKDAYS(Q23,R23)</f>
        <v>30</v>
      </c>
      <c r="V23" s="20">
        <f>ROUNDDOWN(T23*S23,0)</f>
        <v>24</v>
      </c>
      <c r="W23" s="51">
        <f>S23-V23</f>
        <v>17</v>
      </c>
      <c r="X23" s="67" t="str">
        <f>IF(Expenses[[#This Row],[%]]=1,"ja","nein")</f>
        <v>nein</v>
      </c>
      <c r="Y23" s="66"/>
      <c r="Z23" s="21"/>
      <c r="AA23" s="21"/>
      <c r="AB23" s="21"/>
      <c r="AC23" s="21"/>
      <c r="AD23" s="21"/>
      <c r="AE23" s="21"/>
      <c r="AF23" s="21"/>
      <c r="AG23" s="21"/>
      <c r="AH23" s="21"/>
      <c r="AI23" s="21"/>
      <c r="AJ23" s="21"/>
      <c r="AK23" s="21"/>
      <c r="AL23" s="21"/>
      <c r="AM23" s="21"/>
      <c r="AN23" s="21"/>
      <c r="AO23" s="21"/>
      <c r="AP23" s="21"/>
      <c r="AQ23" s="21"/>
      <c r="AR23" s="21"/>
      <c r="AS23" s="21"/>
      <c r="AT23" s="21"/>
      <c r="AU23" s="21"/>
      <c r="AV23" s="21"/>
      <c r="AW23" s="21"/>
      <c r="AX23" s="21"/>
      <c r="AY23" s="21"/>
      <c r="AZ23" s="21"/>
      <c r="BA23" s="21"/>
      <c r="BB23" s="21"/>
      <c r="BC23" s="21"/>
      <c r="BD23" s="21"/>
      <c r="BE23" s="21"/>
      <c r="BF23" s="21"/>
      <c r="BG23" s="21"/>
      <c r="BH23" s="21"/>
      <c r="BI23" s="21"/>
      <c r="BJ23" s="21"/>
      <c r="BK23" s="21"/>
      <c r="BL23" s="21"/>
      <c r="BM23" s="21"/>
      <c r="BN23" s="21"/>
      <c r="BO23" s="21"/>
      <c r="BP23" s="21"/>
      <c r="BQ23" s="21"/>
      <c r="BR23" s="21"/>
      <c r="BS23" s="21"/>
      <c r="BT23" s="21"/>
      <c r="BU23" s="21"/>
      <c r="BV23" s="21"/>
      <c r="BW23" s="21"/>
      <c r="BX23" s="21"/>
      <c r="BY23" s="21"/>
      <c r="BZ23" s="21"/>
      <c r="CA23" s="21"/>
      <c r="CB23" s="21"/>
      <c r="CC23" s="21"/>
      <c r="CD23" s="21"/>
      <c r="CE23" s="21"/>
      <c r="CF23" s="21"/>
      <c r="CG23" s="21"/>
      <c r="CH23" s="21"/>
      <c r="CI23" s="21"/>
      <c r="CJ23" s="21"/>
      <c r="CK23" s="21"/>
      <c r="CL23" s="21"/>
      <c r="CM23" s="21"/>
      <c r="CN23" s="21"/>
      <c r="CO23" s="21"/>
      <c r="CP23" s="21"/>
      <c r="CQ23" s="21"/>
      <c r="CR23" s="21"/>
      <c r="CS23" s="21"/>
      <c r="CT23" s="21"/>
      <c r="CU23" s="21"/>
      <c r="CV23" s="21"/>
      <c r="CW23" s="21"/>
      <c r="CX23" s="21"/>
      <c r="CY23" s="21"/>
      <c r="CZ23" s="21"/>
      <c r="DA23" s="21"/>
      <c r="DB23" s="21"/>
      <c r="DC23" s="21"/>
      <c r="DD23" s="21"/>
      <c r="DE23" s="21"/>
      <c r="DF23" s="21"/>
      <c r="DG23" s="21"/>
      <c r="DH23" s="21"/>
      <c r="DI23" s="21"/>
      <c r="DJ23" s="21"/>
      <c r="DK23" s="21"/>
      <c r="DL23" s="21"/>
      <c r="DM23" s="21"/>
      <c r="DN23" s="21"/>
      <c r="DO23" s="21"/>
      <c r="DP23" s="21"/>
      <c r="DQ23" s="21"/>
      <c r="DR23" s="21"/>
      <c r="DS23" s="21"/>
      <c r="DT23" s="21"/>
      <c r="DU23" s="21"/>
      <c r="DV23" s="21"/>
      <c r="DW23" s="21"/>
      <c r="DX23" s="21"/>
      <c r="DY23" s="21"/>
      <c r="DZ23" s="21"/>
      <c r="EA23" s="21"/>
      <c r="EB23" s="21"/>
      <c r="EC23" s="21"/>
      <c r="ED23" s="21"/>
      <c r="EE23" s="21"/>
      <c r="EF23" s="21"/>
      <c r="EG23" s="21"/>
      <c r="EH23" s="21"/>
      <c r="EI23" s="21"/>
      <c r="EJ23" s="21"/>
      <c r="EK23" s="21"/>
      <c r="EL23" s="21"/>
      <c r="EM23" s="21"/>
      <c r="EN23" s="21"/>
      <c r="EO23" s="21"/>
      <c r="EP23" s="21"/>
      <c r="EQ23" s="21"/>
      <c r="ER23" s="21"/>
      <c r="ES23" s="21"/>
      <c r="ET23" s="21"/>
      <c r="EU23" s="21"/>
      <c r="EV23" s="21"/>
      <c r="EW23" s="21"/>
      <c r="EX23" s="21"/>
      <c r="EY23" s="21"/>
      <c r="EZ23" s="21"/>
      <c r="FA23" s="21"/>
      <c r="FB23" s="21"/>
      <c r="FC23" s="21"/>
      <c r="FD23" s="21"/>
      <c r="FE23" s="21"/>
      <c r="FF23" s="21"/>
      <c r="FG23" s="21"/>
      <c r="FH23" s="21"/>
      <c r="FI23" s="21"/>
      <c r="FJ23" s="21"/>
      <c r="FK23" s="21"/>
      <c r="FL23" s="21"/>
      <c r="FM23" s="21"/>
      <c r="FN23" s="21"/>
      <c r="FO23" s="21"/>
      <c r="FP23" s="21"/>
      <c r="FQ23" s="21"/>
      <c r="FR23" s="21"/>
      <c r="FS23" s="21"/>
      <c r="FT23" s="21"/>
      <c r="FU23" s="21"/>
      <c r="FV23" s="21"/>
      <c r="FW23" s="21"/>
      <c r="FX23" s="21"/>
      <c r="FY23" s="21"/>
      <c r="FZ23" s="21"/>
      <c r="GA23" s="21"/>
      <c r="GB23" s="21"/>
      <c r="GC23" s="21"/>
      <c r="GD23" s="21"/>
      <c r="GE23" s="21"/>
      <c r="GF23" s="21"/>
      <c r="GG23" s="21"/>
      <c r="GH23" s="21"/>
      <c r="GI23" s="21"/>
      <c r="GJ23" s="21"/>
      <c r="GK23" s="21"/>
      <c r="GL23" s="21"/>
      <c r="GM23" s="21"/>
      <c r="GN23" s="21"/>
      <c r="GO23" s="21"/>
      <c r="GP23" s="21"/>
      <c r="GQ23" s="21"/>
      <c r="GR23" s="21"/>
      <c r="GS23" s="21"/>
      <c r="GT23" s="21"/>
      <c r="GU23" s="21"/>
      <c r="GV23" s="21"/>
      <c r="GW23" s="21"/>
      <c r="GX23" s="21"/>
      <c r="GY23" s="21"/>
      <c r="GZ23" s="21"/>
      <c r="HA23" s="21"/>
      <c r="HB23" s="21"/>
      <c r="HC23" s="21"/>
      <c r="HD23" s="21"/>
      <c r="HE23" s="21"/>
      <c r="HF23" s="21"/>
      <c r="HG23" s="21"/>
      <c r="HH23" s="21"/>
      <c r="HI23" s="21"/>
      <c r="HJ23" s="21"/>
      <c r="HK23" s="21"/>
      <c r="HL23" s="21"/>
      <c r="HM23" s="21"/>
      <c r="HN23" s="21"/>
      <c r="HO23" s="21"/>
      <c r="HP23" s="21"/>
      <c r="HQ23" s="21"/>
      <c r="HR23" s="21"/>
      <c r="HS23" s="21"/>
      <c r="HT23" s="21"/>
      <c r="HU23" s="21"/>
      <c r="HV23" s="21"/>
      <c r="HW23" s="21"/>
      <c r="HX23" s="21"/>
      <c r="HY23" s="21"/>
      <c r="HZ23" s="21"/>
      <c r="IA23" s="21"/>
      <c r="IB23" s="21"/>
      <c r="IC23" s="21"/>
      <c r="ID23" s="21"/>
      <c r="IE23" s="21"/>
      <c r="IF23" s="21"/>
      <c r="IG23" s="21"/>
      <c r="IH23" s="21"/>
      <c r="II23" s="21"/>
      <c r="IJ23" s="21"/>
      <c r="IK23" s="21"/>
      <c r="IL23" s="21"/>
      <c r="IM23" s="21"/>
      <c r="IN23" s="21"/>
      <c r="IO23" s="21"/>
      <c r="IP23" s="21"/>
      <c r="IQ23" s="21"/>
      <c r="IR23" s="21"/>
      <c r="IS23" s="21"/>
      <c r="IT23" s="21"/>
      <c r="IU23" s="21"/>
      <c r="IV23" s="21"/>
      <c r="IW23" s="21"/>
      <c r="IX23" s="21"/>
      <c r="IY23" s="21"/>
      <c r="IZ23" s="21"/>
      <c r="JA23" s="21"/>
      <c r="JB23" s="21"/>
      <c r="JC23" s="21"/>
      <c r="JD23" s="74"/>
      <c r="JE23" s="26"/>
    </row>
    <row r="24" spans="1:265" x14ac:dyDescent="0.35">
      <c r="A24" s="113" t="str">
        <f t="shared" ca="1" si="14"/>
        <v>3.6</v>
      </c>
      <c r="B24" s="56" t="s">
        <v>57</v>
      </c>
      <c r="C24" s="56" t="s">
        <v>63</v>
      </c>
      <c r="D24" s="56" t="s">
        <v>73</v>
      </c>
      <c r="E24" s="126"/>
      <c r="F24" s="57" t="s">
        <v>82</v>
      </c>
      <c r="G24" s="126"/>
      <c r="H24" s="82" t="s">
        <v>40</v>
      </c>
      <c r="I24" s="127"/>
      <c r="J24" s="138"/>
      <c r="K24" s="72" t="s">
        <v>97</v>
      </c>
      <c r="L24" s="122"/>
      <c r="M24" s="128"/>
      <c r="N24" s="127"/>
      <c r="O24" s="129"/>
      <c r="P24" s="130">
        <v>3</v>
      </c>
      <c r="Q24" s="86">
        <v>44824</v>
      </c>
      <c r="R24" s="86">
        <v>44832</v>
      </c>
      <c r="S24" s="88">
        <f t="shared" si="19"/>
        <v>8</v>
      </c>
      <c r="T24" s="89">
        <v>1</v>
      </c>
      <c r="U24" s="131" t="e">
        <f>NETWORKDAYS(#REF!,#REF!)</f>
        <v>#REF!</v>
      </c>
      <c r="V24" s="133" t="e">
        <f>ROUNDDOWN(#REF!*#REF!,0)</f>
        <v>#REF!</v>
      </c>
      <c r="W24" s="134" t="e">
        <f>#REF!-V24</f>
        <v>#REF!</v>
      </c>
      <c r="X24" s="135" t="str">
        <f>IF(Expenses[[#This Row],[%]]=1,"ja","nein")</f>
        <v>ja</v>
      </c>
      <c r="Y24" s="136"/>
      <c r="Z24" s="137"/>
      <c r="AA24" s="21"/>
      <c r="AB24" s="21"/>
      <c r="AC24" s="21"/>
      <c r="AD24" s="21"/>
      <c r="AE24" s="21"/>
      <c r="AF24" s="21"/>
      <c r="AG24" s="21"/>
      <c r="AH24" s="21"/>
      <c r="AI24" s="21"/>
      <c r="AJ24" s="21"/>
      <c r="AK24" s="21"/>
      <c r="AL24" s="21"/>
      <c r="AM24" s="21"/>
      <c r="AN24" s="21"/>
      <c r="AO24" s="21"/>
      <c r="AP24" s="21"/>
      <c r="AQ24" s="21"/>
      <c r="AR24" s="21"/>
      <c r="AS24" s="21"/>
      <c r="AT24" s="21"/>
      <c r="AU24" s="21"/>
      <c r="AV24" s="21"/>
      <c r="AW24" s="21"/>
      <c r="AX24" s="21"/>
      <c r="AY24" s="21"/>
      <c r="AZ24" s="21"/>
      <c r="BA24" s="21"/>
      <c r="BB24" s="21"/>
      <c r="BC24" s="21"/>
      <c r="BD24" s="21"/>
      <c r="BE24" s="21"/>
      <c r="BF24" s="21"/>
      <c r="BG24" s="21"/>
      <c r="BH24" s="21"/>
      <c r="BI24" s="21"/>
      <c r="BJ24" s="21"/>
      <c r="BK24" s="21"/>
      <c r="BL24" s="21"/>
      <c r="BM24" s="21"/>
      <c r="BN24" s="21"/>
      <c r="BO24" s="21"/>
      <c r="BP24" s="21"/>
      <c r="BQ24" s="21"/>
      <c r="BR24" s="21"/>
      <c r="BS24" s="21"/>
      <c r="BT24" s="21"/>
      <c r="BU24" s="21"/>
      <c r="BV24" s="21"/>
      <c r="BW24" s="21"/>
      <c r="BX24" s="21"/>
      <c r="BY24" s="21"/>
      <c r="BZ24" s="21"/>
      <c r="CA24" s="21"/>
      <c r="CB24" s="21"/>
      <c r="CC24" s="21"/>
      <c r="CD24" s="21"/>
      <c r="CE24" s="21"/>
      <c r="CF24" s="21"/>
      <c r="CG24" s="21"/>
      <c r="CH24" s="21"/>
      <c r="CI24" s="21"/>
      <c r="CJ24" s="21"/>
      <c r="CK24" s="21"/>
      <c r="CL24" s="21"/>
      <c r="CM24" s="21"/>
      <c r="CN24" s="21"/>
      <c r="CO24" s="21"/>
      <c r="CP24" s="21"/>
      <c r="CQ24" s="21"/>
      <c r="CR24" s="21"/>
      <c r="CS24" s="21"/>
      <c r="CT24" s="21"/>
      <c r="CU24" s="21"/>
      <c r="CV24" s="21"/>
      <c r="CW24" s="21"/>
      <c r="CX24" s="21"/>
      <c r="CY24" s="21"/>
      <c r="CZ24" s="21"/>
      <c r="DA24" s="21"/>
      <c r="DB24" s="21"/>
      <c r="DC24" s="21"/>
      <c r="DD24" s="21"/>
      <c r="DE24" s="21"/>
      <c r="DF24" s="21"/>
      <c r="DG24" s="21"/>
      <c r="DH24" s="21"/>
      <c r="DI24" s="21"/>
      <c r="DJ24" s="21"/>
      <c r="DK24" s="21"/>
      <c r="DL24" s="21"/>
      <c r="DM24" s="21"/>
      <c r="DN24" s="21"/>
      <c r="DO24" s="21"/>
      <c r="DP24" s="21"/>
      <c r="DQ24" s="21"/>
      <c r="DR24" s="21"/>
      <c r="DS24" s="21"/>
      <c r="DT24" s="21"/>
      <c r="DU24" s="21"/>
      <c r="DV24" s="21"/>
      <c r="DW24" s="21"/>
      <c r="DX24" s="21"/>
      <c r="DY24" s="21"/>
      <c r="DZ24" s="21"/>
      <c r="EA24" s="21"/>
      <c r="EB24" s="21"/>
      <c r="EC24" s="21"/>
      <c r="ED24" s="21"/>
      <c r="EE24" s="21"/>
      <c r="EF24" s="21"/>
      <c r="EG24" s="21"/>
      <c r="EH24" s="21"/>
      <c r="EI24" s="21"/>
      <c r="EJ24" s="21"/>
      <c r="EK24" s="21"/>
      <c r="EL24" s="21"/>
      <c r="EM24" s="21"/>
      <c r="EN24" s="21"/>
      <c r="EO24" s="21"/>
      <c r="EP24" s="21"/>
      <c r="EQ24" s="21"/>
      <c r="ER24" s="21"/>
      <c r="ES24" s="21"/>
      <c r="ET24" s="21"/>
      <c r="EU24" s="21"/>
      <c r="EV24" s="21"/>
      <c r="EW24" s="21"/>
      <c r="EX24" s="21"/>
      <c r="EY24" s="21"/>
      <c r="EZ24" s="21"/>
      <c r="FA24" s="21"/>
      <c r="FB24" s="21"/>
      <c r="FC24" s="21"/>
      <c r="FD24" s="21"/>
      <c r="FE24" s="21"/>
      <c r="FF24" s="21"/>
      <c r="FG24" s="21"/>
      <c r="FH24" s="21"/>
      <c r="FI24" s="21"/>
      <c r="FJ24" s="21"/>
      <c r="FK24" s="21"/>
      <c r="FL24" s="21"/>
      <c r="FM24" s="21"/>
      <c r="FN24" s="21"/>
      <c r="FO24" s="21"/>
      <c r="FP24" s="21"/>
      <c r="FQ24" s="21"/>
      <c r="FR24" s="21"/>
      <c r="FS24" s="21"/>
      <c r="FT24" s="21"/>
      <c r="FU24" s="21"/>
      <c r="FV24" s="21"/>
      <c r="FW24" s="21"/>
      <c r="FX24" s="21"/>
      <c r="FY24" s="21"/>
      <c r="FZ24" s="21"/>
      <c r="GA24" s="21"/>
      <c r="GB24" s="21"/>
      <c r="GC24" s="21"/>
      <c r="GD24" s="21"/>
      <c r="GE24" s="21"/>
      <c r="GF24" s="21"/>
      <c r="GG24" s="21"/>
      <c r="GH24" s="21"/>
      <c r="GI24" s="21"/>
      <c r="GJ24" s="21"/>
      <c r="GK24" s="21"/>
      <c r="GL24" s="21"/>
      <c r="GM24" s="21"/>
      <c r="GN24" s="21"/>
      <c r="GO24" s="21"/>
      <c r="GP24" s="21"/>
      <c r="GQ24" s="21"/>
      <c r="GR24" s="21"/>
      <c r="GS24" s="21"/>
      <c r="GT24" s="21"/>
      <c r="GU24" s="21"/>
      <c r="GV24" s="21"/>
      <c r="GW24" s="21"/>
      <c r="GX24" s="21"/>
      <c r="GY24" s="21"/>
      <c r="GZ24" s="21"/>
      <c r="HA24" s="21"/>
      <c r="HB24" s="21"/>
      <c r="HC24" s="21"/>
      <c r="HD24" s="21"/>
      <c r="HE24" s="21"/>
      <c r="HF24" s="21"/>
      <c r="HG24" s="21"/>
      <c r="HH24" s="21"/>
      <c r="HI24" s="21"/>
      <c r="HJ24" s="21"/>
      <c r="HK24" s="21"/>
      <c r="HL24" s="21"/>
      <c r="HM24" s="21"/>
      <c r="HN24" s="21"/>
      <c r="HO24" s="21"/>
      <c r="HP24" s="21"/>
      <c r="HQ24" s="21"/>
      <c r="HR24" s="21"/>
      <c r="HS24" s="21"/>
      <c r="HT24" s="21"/>
      <c r="HU24" s="21"/>
      <c r="HV24" s="21"/>
      <c r="HW24" s="21"/>
      <c r="HX24" s="21"/>
      <c r="HY24" s="21"/>
      <c r="HZ24" s="21"/>
      <c r="IA24" s="21"/>
      <c r="IB24" s="21"/>
      <c r="IC24" s="21"/>
      <c r="ID24" s="21"/>
      <c r="IE24" s="21"/>
      <c r="IF24" s="21"/>
      <c r="IG24" s="21"/>
      <c r="IH24" s="21"/>
      <c r="II24" s="21"/>
      <c r="IJ24" s="21"/>
      <c r="IK24" s="21"/>
      <c r="IL24" s="21"/>
      <c r="IM24" s="21"/>
      <c r="IN24" s="21"/>
      <c r="IO24" s="21"/>
      <c r="IP24" s="21"/>
      <c r="IQ24" s="21"/>
      <c r="IR24" s="21"/>
      <c r="IS24" s="21"/>
      <c r="IT24" s="21"/>
      <c r="IU24" s="21"/>
      <c r="IV24" s="21"/>
      <c r="IW24" s="21"/>
      <c r="IX24" s="21"/>
      <c r="IY24" s="21"/>
      <c r="IZ24" s="21"/>
      <c r="JA24" s="21"/>
      <c r="JB24" s="21"/>
      <c r="JC24" s="21"/>
      <c r="JD24" s="74"/>
      <c r="JE24" s="26"/>
    </row>
    <row r="25" spans="1:265" x14ac:dyDescent="0.35">
      <c r="A25" s="112">
        <v>4</v>
      </c>
      <c r="B25" s="59" t="s">
        <v>47</v>
      </c>
      <c r="C25" s="55"/>
      <c r="D25" s="93" t="e">
        <f t="array" ref="D25">IF(OR(EXACT($O$8,#REF!))=TRUE,$O$8,"f")</f>
        <v>#REF!</v>
      </c>
      <c r="E25" s="55"/>
      <c r="F25" s="55"/>
      <c r="G25" s="55"/>
      <c r="H25" s="58"/>
      <c r="I25" s="58"/>
      <c r="J25" s="58"/>
      <c r="K25" s="58"/>
      <c r="L25" s="121"/>
      <c r="M25" s="58"/>
      <c r="N25" s="58"/>
      <c r="O25" s="104"/>
      <c r="P25" s="78"/>
      <c r="Q25" s="90">
        <f>MIN(Q26:Q27)</f>
        <v>44802</v>
      </c>
      <c r="R25" s="90">
        <f>MAX(R26:R27)</f>
        <v>44841</v>
      </c>
      <c r="S25" s="91">
        <f t="shared" si="19"/>
        <v>39</v>
      </c>
      <c r="T25" s="92">
        <f>SUMPRODUCT(S26:S28,T26:T28)/SUM(S26:S28)</f>
        <v>0.66666666666666663</v>
      </c>
      <c r="U25" s="19">
        <f t="shared" ref="U25" si="20">NETWORKDAYS(Q25,R25)</f>
        <v>30</v>
      </c>
      <c r="V25" s="20">
        <f t="shared" ref="V25" si="21">ROUNDDOWN(T25*S25,0)</f>
        <v>26</v>
      </c>
      <c r="W25" s="51">
        <f t="shared" ref="W25" si="22">S25-V25</f>
        <v>13</v>
      </c>
      <c r="X25" s="67" t="str">
        <f>IF(Expenses[[#This Row],[%]]=1,"ja","nein")</f>
        <v>nein</v>
      </c>
      <c r="Y25" s="66"/>
      <c r="Z25" s="21"/>
      <c r="AA25" s="21"/>
      <c r="AB25" s="21"/>
      <c r="AC25" s="21"/>
      <c r="AD25" s="21"/>
      <c r="AE25" s="21"/>
      <c r="AF25" s="21"/>
      <c r="AG25" s="21"/>
      <c r="AH25" s="21"/>
      <c r="AI25" s="21"/>
      <c r="AJ25" s="21"/>
      <c r="AK25" s="21"/>
      <c r="AL25" s="21"/>
      <c r="AM25" s="21"/>
      <c r="AN25" s="21"/>
      <c r="AO25" s="21"/>
      <c r="AP25" s="21"/>
      <c r="AQ25" s="21"/>
      <c r="AR25" s="21"/>
      <c r="AS25" s="21"/>
      <c r="AT25" s="21"/>
      <c r="AU25" s="21"/>
      <c r="AV25" s="21"/>
      <c r="AW25" s="21"/>
      <c r="AX25" s="21"/>
      <c r="AY25" s="21"/>
      <c r="AZ25" s="21"/>
      <c r="BA25" s="21"/>
      <c r="BB25" s="21"/>
      <c r="BC25" s="21"/>
      <c r="BD25" s="21"/>
      <c r="BE25" s="21"/>
      <c r="BF25" s="21"/>
      <c r="BG25" s="21"/>
      <c r="BH25" s="21"/>
      <c r="BI25" s="21"/>
      <c r="BJ25" s="21"/>
      <c r="BK25" s="21"/>
      <c r="BL25" s="21"/>
      <c r="BM25" s="21"/>
      <c r="BN25" s="21"/>
      <c r="BO25" s="21"/>
      <c r="BP25" s="21"/>
      <c r="BQ25" s="21"/>
      <c r="BR25" s="21"/>
      <c r="BS25" s="21"/>
      <c r="BT25" s="21"/>
      <c r="BU25" s="21"/>
      <c r="BV25" s="21"/>
      <c r="BW25" s="21"/>
      <c r="BX25" s="21"/>
      <c r="BY25" s="21"/>
      <c r="BZ25" s="21"/>
      <c r="CA25" s="21"/>
      <c r="CB25" s="21"/>
      <c r="CC25" s="21"/>
      <c r="CD25" s="21"/>
      <c r="CE25" s="21"/>
      <c r="CF25" s="21"/>
      <c r="CG25" s="21"/>
      <c r="CH25" s="21"/>
      <c r="CI25" s="21"/>
      <c r="CJ25" s="21"/>
      <c r="CK25" s="21"/>
      <c r="CL25" s="21"/>
      <c r="CM25" s="21"/>
      <c r="CN25" s="21"/>
      <c r="CO25" s="21"/>
      <c r="CP25" s="21"/>
      <c r="CQ25" s="21"/>
      <c r="CR25" s="21"/>
      <c r="CS25" s="21"/>
      <c r="CT25" s="21"/>
      <c r="CU25" s="21"/>
      <c r="CV25" s="21"/>
      <c r="CW25" s="21"/>
      <c r="CX25" s="21"/>
      <c r="CY25" s="21"/>
      <c r="CZ25" s="21"/>
      <c r="DA25" s="21"/>
      <c r="DB25" s="21"/>
      <c r="DC25" s="21"/>
      <c r="DD25" s="21"/>
      <c r="DE25" s="21"/>
      <c r="DF25" s="21"/>
      <c r="DG25" s="21"/>
      <c r="DH25" s="21"/>
      <c r="DI25" s="21"/>
      <c r="DJ25" s="21"/>
      <c r="DK25" s="21"/>
      <c r="DL25" s="21"/>
      <c r="DM25" s="21"/>
      <c r="DN25" s="21"/>
      <c r="DO25" s="21"/>
      <c r="DP25" s="21"/>
      <c r="DQ25" s="21"/>
      <c r="DR25" s="21"/>
      <c r="DS25" s="21"/>
      <c r="DT25" s="21"/>
      <c r="DU25" s="21"/>
      <c r="DV25" s="21"/>
      <c r="DW25" s="21"/>
      <c r="DX25" s="21"/>
      <c r="DY25" s="21"/>
      <c r="DZ25" s="21"/>
      <c r="EA25" s="21"/>
      <c r="EB25" s="21"/>
      <c r="EC25" s="21"/>
      <c r="ED25" s="21"/>
      <c r="EE25" s="21"/>
      <c r="EF25" s="21"/>
      <c r="EG25" s="21"/>
      <c r="EH25" s="21"/>
      <c r="EI25" s="21"/>
      <c r="EJ25" s="21"/>
      <c r="EK25" s="21"/>
      <c r="EL25" s="21"/>
      <c r="EM25" s="21"/>
      <c r="EN25" s="21"/>
      <c r="EO25" s="21"/>
      <c r="EP25" s="21"/>
      <c r="EQ25" s="21"/>
      <c r="ER25" s="21"/>
      <c r="ES25" s="21"/>
      <c r="ET25" s="21"/>
      <c r="EU25" s="21"/>
      <c r="EV25" s="21"/>
      <c r="EW25" s="21"/>
      <c r="EX25" s="21"/>
      <c r="EY25" s="21"/>
      <c r="EZ25" s="21"/>
      <c r="FA25" s="21"/>
      <c r="FB25" s="21"/>
      <c r="FC25" s="21"/>
      <c r="FD25" s="21"/>
      <c r="FE25" s="21"/>
      <c r="FF25" s="21"/>
      <c r="FG25" s="21"/>
      <c r="FH25" s="21"/>
      <c r="FI25" s="21"/>
      <c r="FJ25" s="21"/>
      <c r="FK25" s="21"/>
      <c r="FL25" s="21"/>
      <c r="FM25" s="21"/>
      <c r="FN25" s="21"/>
      <c r="FO25" s="21"/>
      <c r="FP25" s="21"/>
      <c r="FQ25" s="21"/>
      <c r="FR25" s="21"/>
      <c r="FS25" s="21"/>
      <c r="FT25" s="21"/>
      <c r="FU25" s="21"/>
      <c r="FV25" s="21"/>
      <c r="FW25" s="21"/>
      <c r="FX25" s="21"/>
      <c r="FY25" s="21"/>
      <c r="FZ25" s="21"/>
      <c r="GA25" s="21"/>
      <c r="GB25" s="21"/>
      <c r="GC25" s="21"/>
      <c r="GD25" s="21"/>
      <c r="GE25" s="21"/>
      <c r="GF25" s="21"/>
      <c r="GG25" s="21"/>
      <c r="GH25" s="21"/>
      <c r="GI25" s="21"/>
      <c r="GJ25" s="21"/>
      <c r="GK25" s="21"/>
      <c r="GL25" s="21"/>
      <c r="GM25" s="21"/>
      <c r="GN25" s="21"/>
      <c r="GO25" s="21"/>
      <c r="GP25" s="21"/>
      <c r="GQ25" s="21"/>
      <c r="GR25" s="21"/>
      <c r="GS25" s="21"/>
      <c r="GT25" s="21"/>
      <c r="GU25" s="21"/>
      <c r="GV25" s="21"/>
      <c r="GW25" s="21"/>
      <c r="GX25" s="21"/>
      <c r="GY25" s="21"/>
      <c r="GZ25" s="21"/>
      <c r="HA25" s="21"/>
      <c r="HB25" s="21"/>
      <c r="HC25" s="21"/>
      <c r="HD25" s="21"/>
      <c r="HE25" s="21"/>
      <c r="HF25" s="21"/>
      <c r="HG25" s="21"/>
      <c r="HH25" s="21"/>
      <c r="HI25" s="21"/>
      <c r="HJ25" s="21"/>
      <c r="HK25" s="21"/>
      <c r="HL25" s="21"/>
      <c r="HM25" s="21"/>
      <c r="HN25" s="21"/>
      <c r="HO25" s="21"/>
      <c r="HP25" s="21"/>
      <c r="HQ25" s="21"/>
      <c r="HR25" s="21"/>
      <c r="HS25" s="21"/>
      <c r="HT25" s="21"/>
      <c r="HU25" s="21"/>
      <c r="HV25" s="21"/>
      <c r="HW25" s="21"/>
      <c r="HX25" s="21"/>
      <c r="HY25" s="21"/>
      <c r="HZ25" s="21"/>
      <c r="IA25" s="21"/>
      <c r="IB25" s="21"/>
      <c r="IC25" s="21"/>
      <c r="ID25" s="21"/>
      <c r="IE25" s="21"/>
      <c r="IF25" s="21"/>
      <c r="IG25" s="21"/>
      <c r="IH25" s="21"/>
      <c r="II25" s="21"/>
      <c r="IJ25" s="21"/>
      <c r="IK25" s="21"/>
      <c r="IL25" s="21"/>
      <c r="IM25" s="21"/>
      <c r="IN25" s="21"/>
      <c r="IO25" s="21"/>
      <c r="IP25" s="21"/>
      <c r="IQ25" s="21"/>
      <c r="IR25" s="21"/>
      <c r="IS25" s="21"/>
      <c r="IT25" s="21"/>
      <c r="IU25" s="21"/>
      <c r="IV25" s="21"/>
      <c r="IW25" s="21"/>
      <c r="IX25" s="21"/>
      <c r="IY25" s="21"/>
      <c r="IZ25" s="21"/>
      <c r="JA25" s="21"/>
      <c r="JB25" s="21"/>
      <c r="JC25" s="21"/>
      <c r="JD25" s="74"/>
      <c r="JE25" s="26"/>
    </row>
    <row r="26" spans="1:265" x14ac:dyDescent="0.35">
      <c r="A26" s="113" t="str">
        <f t="shared" ca="1" si="14"/>
        <v>4.1</v>
      </c>
      <c r="B26" s="56" t="s">
        <v>52</v>
      </c>
      <c r="C26" s="56" t="s">
        <v>58</v>
      </c>
      <c r="D26" s="56" t="s">
        <v>74</v>
      </c>
      <c r="E26" s="56"/>
      <c r="F26" s="57" t="s">
        <v>81</v>
      </c>
      <c r="G26" s="60"/>
      <c r="H26" s="82" t="s">
        <v>40</v>
      </c>
      <c r="I26" s="81"/>
      <c r="J26" s="81"/>
      <c r="K26" s="72" t="s">
        <v>99</v>
      </c>
      <c r="L26" s="122"/>
      <c r="M26" s="83"/>
      <c r="N26" s="81"/>
      <c r="O26" s="106"/>
      <c r="P26" s="114"/>
      <c r="Q26" s="86">
        <v>44802</v>
      </c>
      <c r="R26" s="86">
        <v>44802</v>
      </c>
      <c r="S26" s="88">
        <f t="shared" ref="S26:S29" si="23">IF(R26-Q26=0,1,R26-Q26)</f>
        <v>1</v>
      </c>
      <c r="T26" s="89">
        <v>1</v>
      </c>
      <c r="U26" s="19">
        <f t="shared" si="15"/>
        <v>1</v>
      </c>
      <c r="V26" s="20">
        <f t="shared" si="16"/>
        <v>1</v>
      </c>
      <c r="W26" s="51">
        <f t="shared" si="17"/>
        <v>0</v>
      </c>
      <c r="X26" s="67" t="str">
        <f>IF(Expenses[[#This Row],[%]]=1,"ja","nein")</f>
        <v>ja</v>
      </c>
      <c r="Y26" s="66"/>
      <c r="Z26" s="21"/>
      <c r="AA26" s="21"/>
      <c r="AB26" s="21"/>
      <c r="AC26" s="21"/>
      <c r="AD26" s="21"/>
      <c r="AE26" s="21"/>
      <c r="AF26" s="21"/>
      <c r="AG26" s="21"/>
      <c r="AH26" s="21"/>
      <c r="AI26" s="21"/>
      <c r="AJ26" s="21"/>
      <c r="AK26" s="21"/>
      <c r="AL26" s="21"/>
      <c r="AM26" s="21"/>
      <c r="AN26" s="21"/>
      <c r="AO26" s="21"/>
      <c r="AP26" s="21"/>
      <c r="AQ26" s="21"/>
      <c r="AR26" s="21"/>
      <c r="AS26" s="21"/>
      <c r="AT26" s="21"/>
      <c r="AU26" s="21"/>
      <c r="AV26" s="21"/>
      <c r="AW26" s="21"/>
      <c r="AX26" s="21"/>
      <c r="AY26" s="21"/>
      <c r="AZ26" s="21"/>
      <c r="BA26" s="21"/>
      <c r="BB26" s="21"/>
      <c r="BC26" s="21"/>
      <c r="BD26" s="21"/>
      <c r="BE26" s="21"/>
      <c r="BF26" s="21"/>
      <c r="BG26" s="21"/>
      <c r="BH26" s="21"/>
      <c r="BI26" s="21"/>
      <c r="BJ26" s="21"/>
      <c r="BK26" s="21"/>
      <c r="BL26" s="21"/>
      <c r="BM26" s="21"/>
      <c r="BN26" s="21"/>
      <c r="BO26" s="21"/>
      <c r="BP26" s="21"/>
      <c r="BQ26" s="21"/>
      <c r="BR26" s="21"/>
      <c r="BS26" s="21"/>
      <c r="BT26" s="21"/>
      <c r="BU26" s="21"/>
      <c r="BV26" s="21"/>
      <c r="BW26" s="21"/>
      <c r="BX26" s="21"/>
      <c r="BY26" s="21"/>
      <c r="BZ26" s="21"/>
      <c r="CA26" s="21"/>
      <c r="CB26" s="21"/>
      <c r="CC26" s="21"/>
      <c r="CD26" s="21"/>
      <c r="CE26" s="21"/>
      <c r="CF26" s="21"/>
      <c r="CG26" s="21"/>
      <c r="CH26" s="21"/>
      <c r="CI26" s="21"/>
      <c r="CJ26" s="21"/>
      <c r="CK26" s="21"/>
      <c r="CL26" s="21"/>
      <c r="CM26" s="21"/>
      <c r="CN26" s="21"/>
      <c r="CO26" s="21"/>
      <c r="CP26" s="21"/>
      <c r="CQ26" s="21"/>
      <c r="CR26" s="21"/>
      <c r="CS26" s="21"/>
      <c r="CT26" s="21"/>
      <c r="CU26" s="21"/>
      <c r="CV26" s="21"/>
      <c r="CW26" s="21"/>
      <c r="CX26" s="21"/>
      <c r="CY26" s="21"/>
      <c r="CZ26" s="21"/>
      <c r="DA26" s="21"/>
      <c r="DB26" s="21"/>
      <c r="DC26" s="21"/>
      <c r="DD26" s="21"/>
      <c r="DE26" s="21"/>
      <c r="DF26" s="21"/>
      <c r="DG26" s="21"/>
      <c r="DH26" s="21"/>
      <c r="DI26" s="21"/>
      <c r="DJ26" s="21"/>
      <c r="DK26" s="21"/>
      <c r="DL26" s="21"/>
      <c r="DM26" s="21"/>
      <c r="DN26" s="21"/>
      <c r="DO26" s="21"/>
      <c r="DP26" s="21"/>
      <c r="DQ26" s="21"/>
      <c r="DR26" s="21"/>
      <c r="DS26" s="21"/>
      <c r="DT26" s="21"/>
      <c r="DU26" s="21"/>
      <c r="DV26" s="21"/>
      <c r="DW26" s="21"/>
      <c r="DX26" s="21"/>
      <c r="DY26" s="21"/>
      <c r="DZ26" s="21"/>
      <c r="EA26" s="21"/>
      <c r="EB26" s="21"/>
      <c r="EC26" s="21"/>
      <c r="ED26" s="21"/>
      <c r="EE26" s="21"/>
      <c r="EF26" s="21"/>
      <c r="EG26" s="21"/>
      <c r="EH26" s="21"/>
      <c r="EI26" s="21"/>
      <c r="EJ26" s="21"/>
      <c r="EK26" s="21"/>
      <c r="EL26" s="21"/>
      <c r="EM26" s="21"/>
      <c r="EN26" s="21"/>
      <c r="EO26" s="21"/>
      <c r="EP26" s="21"/>
      <c r="EQ26" s="21"/>
      <c r="ER26" s="21"/>
      <c r="ES26" s="21"/>
      <c r="ET26" s="21"/>
      <c r="EU26" s="21"/>
      <c r="EV26" s="21"/>
      <c r="EW26" s="21"/>
      <c r="EX26" s="21"/>
      <c r="EY26" s="21"/>
      <c r="EZ26" s="21"/>
      <c r="FA26" s="21"/>
      <c r="FB26" s="21"/>
      <c r="FC26" s="21"/>
      <c r="FD26" s="21"/>
      <c r="FE26" s="21"/>
      <c r="FF26" s="21"/>
      <c r="FG26" s="21"/>
      <c r="FH26" s="21"/>
      <c r="FI26" s="21"/>
      <c r="FJ26" s="21"/>
      <c r="FK26" s="21"/>
      <c r="FL26" s="21"/>
      <c r="FM26" s="21"/>
      <c r="FN26" s="21"/>
      <c r="FO26" s="21"/>
      <c r="FP26" s="21"/>
      <c r="FQ26" s="21"/>
      <c r="FR26" s="21"/>
      <c r="FS26" s="21"/>
      <c r="FT26" s="21"/>
      <c r="FU26" s="21"/>
      <c r="FV26" s="21"/>
      <c r="FW26" s="21"/>
      <c r="FX26" s="21"/>
      <c r="FY26" s="21"/>
      <c r="FZ26" s="21"/>
      <c r="GA26" s="21"/>
      <c r="GB26" s="21"/>
      <c r="GC26" s="21"/>
      <c r="GD26" s="21"/>
      <c r="GE26" s="21"/>
      <c r="GF26" s="21"/>
      <c r="GG26" s="21"/>
      <c r="GH26" s="21"/>
      <c r="GI26" s="21"/>
      <c r="GJ26" s="21"/>
      <c r="GK26" s="21"/>
      <c r="GL26" s="21"/>
      <c r="GM26" s="21"/>
      <c r="GN26" s="21"/>
      <c r="GO26" s="21"/>
      <c r="GP26" s="21"/>
      <c r="GQ26" s="21"/>
      <c r="GR26" s="21"/>
      <c r="GS26" s="21"/>
      <c r="GT26" s="21"/>
      <c r="GU26" s="21"/>
      <c r="GV26" s="21"/>
      <c r="GW26" s="21"/>
      <c r="GX26" s="21"/>
      <c r="GY26" s="21"/>
      <c r="GZ26" s="21"/>
      <c r="HA26" s="21"/>
      <c r="HB26" s="21"/>
      <c r="HC26" s="21"/>
      <c r="HD26" s="21"/>
      <c r="HE26" s="21"/>
      <c r="HF26" s="21"/>
      <c r="HG26" s="21"/>
      <c r="HH26" s="21"/>
      <c r="HI26" s="21"/>
      <c r="HJ26" s="21"/>
      <c r="HK26" s="21"/>
      <c r="HL26" s="21"/>
      <c r="HM26" s="21"/>
      <c r="HN26" s="21"/>
      <c r="HO26" s="21"/>
      <c r="HP26" s="21"/>
      <c r="HQ26" s="21"/>
      <c r="HR26" s="21"/>
      <c r="HS26" s="21"/>
      <c r="HT26" s="21"/>
      <c r="HU26" s="21"/>
      <c r="HV26" s="21"/>
      <c r="HW26" s="21"/>
      <c r="HX26" s="21"/>
      <c r="HY26" s="21"/>
      <c r="HZ26" s="21"/>
      <c r="IA26" s="21"/>
      <c r="IB26" s="21"/>
      <c r="IC26" s="21"/>
      <c r="ID26" s="21"/>
      <c r="IE26" s="21"/>
      <c r="IF26" s="21"/>
      <c r="IG26" s="21"/>
      <c r="IH26" s="21"/>
      <c r="II26" s="21"/>
      <c r="IJ26" s="21"/>
      <c r="IK26" s="21"/>
      <c r="IL26" s="21"/>
      <c r="IM26" s="21"/>
      <c r="IN26" s="21"/>
      <c r="IO26" s="21"/>
      <c r="IP26" s="21"/>
      <c r="IQ26" s="21"/>
      <c r="IR26" s="21"/>
      <c r="IS26" s="21"/>
      <c r="IT26" s="21"/>
      <c r="IU26" s="21"/>
      <c r="IV26" s="21"/>
      <c r="IW26" s="21"/>
      <c r="IX26" s="21"/>
      <c r="IY26" s="21"/>
      <c r="IZ26" s="21"/>
      <c r="JA26" s="21"/>
      <c r="JB26" s="21"/>
      <c r="JC26" s="21"/>
      <c r="JD26" s="74"/>
      <c r="JE26" s="26"/>
    </row>
    <row r="27" spans="1:265" x14ac:dyDescent="0.35">
      <c r="A27" s="113" t="str">
        <f t="shared" ca="1" si="14"/>
        <v>4.2</v>
      </c>
      <c r="B27" s="56" t="s">
        <v>53</v>
      </c>
      <c r="C27" s="56" t="s">
        <v>59</v>
      </c>
      <c r="D27" s="56" t="s">
        <v>75</v>
      </c>
      <c r="E27" s="56"/>
      <c r="F27" s="57" t="s">
        <v>83</v>
      </c>
      <c r="G27" s="60"/>
      <c r="H27" s="82" t="s">
        <v>40</v>
      </c>
      <c r="I27" s="81"/>
      <c r="J27" s="81"/>
      <c r="K27" s="72" t="s">
        <v>103</v>
      </c>
      <c r="L27" s="122"/>
      <c r="M27" s="83"/>
      <c r="N27" s="83"/>
      <c r="O27" s="106"/>
      <c r="P27" s="85">
        <v>0</v>
      </c>
      <c r="Q27" s="86">
        <v>44841</v>
      </c>
      <c r="R27" s="86">
        <v>44841</v>
      </c>
      <c r="S27" s="88">
        <f t="shared" si="23"/>
        <v>1</v>
      </c>
      <c r="T27" s="89">
        <v>0</v>
      </c>
      <c r="U27" s="19">
        <f t="shared" si="15"/>
        <v>1</v>
      </c>
      <c r="V27" s="20">
        <f t="shared" si="16"/>
        <v>0</v>
      </c>
      <c r="W27" s="51">
        <f t="shared" si="17"/>
        <v>1</v>
      </c>
      <c r="X27" s="67" t="str">
        <f>IF(Expenses[[#This Row],[%]]=1,"ja","nein")</f>
        <v>nein</v>
      </c>
      <c r="Y27" s="66"/>
      <c r="Z27" s="21"/>
      <c r="AA27" s="21"/>
      <c r="AB27" s="21"/>
      <c r="AC27" s="21"/>
      <c r="AD27" s="21"/>
      <c r="AE27" s="21"/>
      <c r="AF27" s="21"/>
      <c r="AG27" s="21"/>
      <c r="AH27" s="21"/>
      <c r="AI27" s="21"/>
      <c r="AJ27" s="21"/>
      <c r="AK27" s="21"/>
      <c r="AL27" s="21"/>
      <c r="AM27" s="21"/>
      <c r="AN27" s="21"/>
      <c r="AO27" s="21"/>
      <c r="AP27" s="21"/>
      <c r="AQ27" s="21"/>
      <c r="AR27" s="21"/>
      <c r="AS27" s="21"/>
      <c r="AT27" s="21"/>
      <c r="AU27" s="21"/>
      <c r="AV27" s="21"/>
      <c r="AW27" s="21"/>
      <c r="AX27" s="21"/>
      <c r="AY27" s="21"/>
      <c r="AZ27" s="21"/>
      <c r="BA27" s="21"/>
      <c r="BB27" s="21"/>
      <c r="BC27" s="21"/>
      <c r="BD27" s="21"/>
      <c r="BE27" s="21"/>
      <c r="BF27" s="21"/>
      <c r="BG27" s="21"/>
      <c r="BH27" s="21"/>
      <c r="BI27" s="21"/>
      <c r="BJ27" s="21"/>
      <c r="BK27" s="21"/>
      <c r="BL27" s="21"/>
      <c r="BM27" s="21"/>
      <c r="BN27" s="21"/>
      <c r="BO27" s="21"/>
      <c r="BP27" s="21"/>
      <c r="BQ27" s="21"/>
      <c r="BR27" s="21"/>
      <c r="BS27" s="21"/>
      <c r="BT27" s="21"/>
      <c r="BU27" s="21"/>
      <c r="BV27" s="21"/>
      <c r="BW27" s="21"/>
      <c r="BX27" s="21"/>
      <c r="BY27" s="21"/>
      <c r="BZ27" s="21"/>
      <c r="CA27" s="21"/>
      <c r="CB27" s="21"/>
      <c r="CC27" s="21"/>
      <c r="CD27" s="21"/>
      <c r="CE27" s="21"/>
      <c r="CF27" s="21"/>
      <c r="CG27" s="21"/>
      <c r="CH27" s="21"/>
      <c r="CI27" s="21"/>
      <c r="CJ27" s="21"/>
      <c r="CK27" s="21"/>
      <c r="CL27" s="21"/>
      <c r="CM27" s="21"/>
      <c r="CN27" s="21"/>
      <c r="CO27" s="21"/>
      <c r="CP27" s="21"/>
      <c r="CQ27" s="21"/>
      <c r="CR27" s="21"/>
      <c r="CS27" s="21"/>
      <c r="CT27" s="21"/>
      <c r="CU27" s="21"/>
      <c r="CV27" s="21"/>
      <c r="CW27" s="21"/>
      <c r="CX27" s="21"/>
      <c r="CY27" s="21"/>
      <c r="CZ27" s="21"/>
      <c r="DA27" s="21"/>
      <c r="DB27" s="21"/>
      <c r="DC27" s="21"/>
      <c r="DD27" s="21"/>
      <c r="DE27" s="21"/>
      <c r="DF27" s="21"/>
      <c r="DG27" s="21"/>
      <c r="DH27" s="21"/>
      <c r="DI27" s="21"/>
      <c r="DJ27" s="21"/>
      <c r="DK27" s="21"/>
      <c r="DL27" s="21"/>
      <c r="DM27" s="21"/>
      <c r="DN27" s="21"/>
      <c r="DO27" s="21"/>
      <c r="DP27" s="21"/>
      <c r="DQ27" s="21"/>
      <c r="DR27" s="21"/>
      <c r="DS27" s="21"/>
      <c r="DT27" s="21"/>
      <c r="DU27" s="21"/>
      <c r="DV27" s="21"/>
      <c r="DW27" s="21"/>
      <c r="DX27" s="21"/>
      <c r="DY27" s="21"/>
      <c r="DZ27" s="21"/>
      <c r="EA27" s="21"/>
      <c r="EB27" s="21"/>
      <c r="EC27" s="21"/>
      <c r="ED27" s="21"/>
      <c r="EE27" s="21"/>
      <c r="EF27" s="21"/>
      <c r="EG27" s="21"/>
      <c r="EH27" s="21"/>
      <c r="EI27" s="21"/>
      <c r="EJ27" s="21"/>
      <c r="EK27" s="21"/>
      <c r="EL27" s="21"/>
      <c r="EM27" s="21"/>
      <c r="EN27" s="21"/>
      <c r="EO27" s="21"/>
      <c r="EP27" s="21"/>
      <c r="EQ27" s="21"/>
      <c r="ER27" s="21"/>
      <c r="ES27" s="21"/>
      <c r="ET27" s="21"/>
      <c r="EU27" s="21"/>
      <c r="EV27" s="21"/>
      <c r="EW27" s="21"/>
      <c r="EX27" s="21"/>
      <c r="EY27" s="21"/>
      <c r="EZ27" s="21"/>
      <c r="FA27" s="21"/>
      <c r="FB27" s="21"/>
      <c r="FC27" s="21"/>
      <c r="FD27" s="21"/>
      <c r="FE27" s="21"/>
      <c r="FF27" s="21"/>
      <c r="FG27" s="21"/>
      <c r="FH27" s="21"/>
      <c r="FI27" s="21"/>
      <c r="FJ27" s="21"/>
      <c r="FK27" s="21"/>
      <c r="FL27" s="21"/>
      <c r="FM27" s="21"/>
      <c r="FN27" s="21"/>
      <c r="FO27" s="21"/>
      <c r="FP27" s="21"/>
      <c r="FQ27" s="21"/>
      <c r="FR27" s="21"/>
      <c r="FS27" s="21"/>
      <c r="FT27" s="21"/>
      <c r="FU27" s="21"/>
      <c r="FV27" s="21"/>
      <c r="FW27" s="21"/>
      <c r="FX27" s="21"/>
      <c r="FY27" s="21"/>
      <c r="FZ27" s="21"/>
      <c r="GA27" s="21"/>
      <c r="GB27" s="21"/>
      <c r="GC27" s="21"/>
      <c r="GD27" s="21"/>
      <c r="GE27" s="21"/>
      <c r="GF27" s="21"/>
      <c r="GG27" s="21"/>
      <c r="GH27" s="21"/>
      <c r="GI27" s="21"/>
      <c r="GJ27" s="21"/>
      <c r="GK27" s="21"/>
      <c r="GL27" s="21"/>
      <c r="GM27" s="21"/>
      <c r="GN27" s="21"/>
      <c r="GO27" s="21"/>
      <c r="GP27" s="21"/>
      <c r="GQ27" s="21"/>
      <c r="GR27" s="21"/>
      <c r="GS27" s="21"/>
      <c r="GT27" s="21"/>
      <c r="GU27" s="21"/>
      <c r="GV27" s="21"/>
      <c r="GW27" s="21"/>
      <c r="GX27" s="21"/>
      <c r="GY27" s="21"/>
      <c r="GZ27" s="21"/>
      <c r="HA27" s="21"/>
      <c r="HB27" s="21"/>
      <c r="HC27" s="21"/>
      <c r="HD27" s="21"/>
      <c r="HE27" s="21"/>
      <c r="HF27" s="21"/>
      <c r="HG27" s="21"/>
      <c r="HH27" s="21"/>
      <c r="HI27" s="21"/>
      <c r="HJ27" s="21"/>
      <c r="HK27" s="21"/>
      <c r="HL27" s="21"/>
      <c r="HM27" s="21"/>
      <c r="HN27" s="21"/>
      <c r="HO27" s="21"/>
      <c r="HP27" s="21"/>
      <c r="HQ27" s="21"/>
      <c r="HR27" s="21"/>
      <c r="HS27" s="21"/>
      <c r="HT27" s="21"/>
      <c r="HU27" s="21"/>
      <c r="HV27" s="21"/>
      <c r="HW27" s="21"/>
      <c r="HX27" s="21"/>
      <c r="HY27" s="21"/>
      <c r="HZ27" s="21"/>
      <c r="IA27" s="21"/>
      <c r="IB27" s="21"/>
      <c r="IC27" s="21"/>
      <c r="ID27" s="21"/>
      <c r="IE27" s="21"/>
      <c r="IF27" s="21"/>
      <c r="IG27" s="21"/>
      <c r="IH27" s="21"/>
      <c r="II27" s="21"/>
      <c r="IJ27" s="21"/>
      <c r="IK27" s="21"/>
      <c r="IL27" s="21"/>
      <c r="IM27" s="21"/>
      <c r="IN27" s="21"/>
      <c r="IO27" s="21"/>
      <c r="IP27" s="21"/>
      <c r="IQ27" s="21"/>
      <c r="IR27" s="21"/>
      <c r="IS27" s="21"/>
      <c r="IT27" s="21"/>
      <c r="IU27" s="21"/>
      <c r="IV27" s="21"/>
      <c r="IW27" s="21"/>
      <c r="IX27" s="21"/>
      <c r="IY27" s="21"/>
      <c r="IZ27" s="21"/>
      <c r="JA27" s="21"/>
      <c r="JB27" s="21"/>
      <c r="JC27" s="21"/>
      <c r="JD27" s="74"/>
      <c r="JE27" s="26"/>
    </row>
    <row r="28" spans="1:265" x14ac:dyDescent="0.35">
      <c r="A28" s="112">
        <v>5</v>
      </c>
      <c r="B28" s="59" t="s">
        <v>48</v>
      </c>
      <c r="C28" s="55"/>
      <c r="D28" s="93" t="str">
        <f t="array" ref="D28">IF(OR(EXACT($O$8,D37:D37))=TRUE,$O$8,"f")</f>
        <v>f</v>
      </c>
      <c r="E28" s="55"/>
      <c r="F28" s="55"/>
      <c r="G28" s="55"/>
      <c r="H28" s="58"/>
      <c r="I28" s="58"/>
      <c r="J28" s="58"/>
      <c r="K28" s="58"/>
      <c r="L28" s="121"/>
      <c r="M28" s="58"/>
      <c r="N28" s="58"/>
      <c r="O28" s="104"/>
      <c r="P28" s="78"/>
      <c r="Q28" s="90">
        <f>MIN(Q29:Q30)</f>
        <v>44810</v>
      </c>
      <c r="R28" s="90">
        <f>MAX(R29:R30)</f>
        <v>44811</v>
      </c>
      <c r="S28" s="91">
        <f>IF(R28-Q28=0,1,R28-Q28)</f>
        <v>1</v>
      </c>
      <c r="T28" s="92">
        <f>SUMPRODUCT(S29:S30,T29:T30)/SUM(S29:S30)</f>
        <v>1</v>
      </c>
      <c r="U28" s="19">
        <f t="shared" si="15"/>
        <v>2</v>
      </c>
      <c r="V28" s="20">
        <f t="shared" si="16"/>
        <v>1</v>
      </c>
      <c r="W28" s="51">
        <f t="shared" si="17"/>
        <v>0</v>
      </c>
      <c r="X28" s="67" t="str">
        <f>IF(Expenses[[#This Row],[%]]=1,"ja","nein")</f>
        <v>ja</v>
      </c>
      <c r="Y28" s="66"/>
      <c r="Z28" s="21"/>
      <c r="AA28" s="21"/>
      <c r="AB28" s="21"/>
      <c r="AC28" s="21"/>
      <c r="AD28" s="21"/>
      <c r="AE28" s="21"/>
      <c r="AF28" s="21"/>
      <c r="AG28" s="21"/>
      <c r="AH28" s="21"/>
      <c r="AI28" s="21"/>
      <c r="AJ28" s="21"/>
      <c r="AK28" s="21"/>
      <c r="AL28" s="21"/>
      <c r="AM28" s="21"/>
      <c r="AN28" s="21"/>
      <c r="AO28" s="21"/>
      <c r="AP28" s="21"/>
      <c r="AQ28" s="21"/>
      <c r="AR28" s="21"/>
      <c r="AS28" s="21"/>
      <c r="AT28" s="21"/>
      <c r="AU28" s="21"/>
      <c r="AV28" s="21"/>
      <c r="AW28" s="21"/>
      <c r="AX28" s="21"/>
      <c r="AY28" s="21"/>
      <c r="AZ28" s="21"/>
      <c r="BA28" s="21"/>
      <c r="BB28" s="21"/>
      <c r="BC28" s="21"/>
      <c r="BD28" s="21"/>
      <c r="BE28" s="21"/>
      <c r="BF28" s="21"/>
      <c r="BG28" s="21"/>
      <c r="BH28" s="21"/>
      <c r="BI28" s="21"/>
      <c r="BJ28" s="21"/>
      <c r="BK28" s="21"/>
      <c r="BL28" s="21"/>
      <c r="BM28" s="21"/>
      <c r="BN28" s="21"/>
      <c r="BO28" s="21"/>
      <c r="BP28" s="21"/>
      <c r="BQ28" s="21"/>
      <c r="BR28" s="21"/>
      <c r="BS28" s="21"/>
      <c r="BT28" s="21"/>
      <c r="BU28" s="21"/>
      <c r="BV28" s="21"/>
      <c r="BW28" s="21"/>
      <c r="BX28" s="21"/>
      <c r="BY28" s="21"/>
      <c r="BZ28" s="21"/>
      <c r="CA28" s="21"/>
      <c r="CB28" s="21"/>
      <c r="CC28" s="21"/>
      <c r="CD28" s="21"/>
      <c r="CE28" s="21"/>
      <c r="CF28" s="21"/>
      <c r="CG28" s="21"/>
      <c r="CH28" s="21"/>
      <c r="CI28" s="21"/>
      <c r="CJ28" s="21"/>
      <c r="CK28" s="21"/>
      <c r="CL28" s="21"/>
      <c r="CM28" s="21"/>
      <c r="CN28" s="21"/>
      <c r="CO28" s="21"/>
      <c r="CP28" s="21"/>
      <c r="CQ28" s="21"/>
      <c r="CR28" s="21"/>
      <c r="CS28" s="21"/>
      <c r="CT28" s="21"/>
      <c r="CU28" s="21"/>
      <c r="CV28" s="21"/>
      <c r="CW28" s="21"/>
      <c r="CX28" s="21"/>
      <c r="CY28" s="21"/>
      <c r="CZ28" s="21"/>
      <c r="DA28" s="21"/>
      <c r="DB28" s="21"/>
      <c r="DC28" s="21"/>
      <c r="DD28" s="21"/>
      <c r="DE28" s="21"/>
      <c r="DF28" s="21"/>
      <c r="DG28" s="21"/>
      <c r="DH28" s="21"/>
      <c r="DI28" s="21"/>
      <c r="DJ28" s="21"/>
      <c r="DK28" s="21"/>
      <c r="DL28" s="21"/>
      <c r="DM28" s="21"/>
      <c r="DN28" s="21"/>
      <c r="DO28" s="21"/>
      <c r="DP28" s="21"/>
      <c r="DQ28" s="21"/>
      <c r="DR28" s="21"/>
      <c r="DS28" s="21"/>
      <c r="DT28" s="21"/>
      <c r="DU28" s="21"/>
      <c r="DV28" s="21"/>
      <c r="DW28" s="21"/>
      <c r="DX28" s="21"/>
      <c r="DY28" s="21"/>
      <c r="DZ28" s="21"/>
      <c r="EA28" s="21"/>
      <c r="EB28" s="21"/>
      <c r="EC28" s="21"/>
      <c r="ED28" s="21"/>
      <c r="EE28" s="21"/>
      <c r="EF28" s="21"/>
      <c r="EG28" s="21"/>
      <c r="EH28" s="21"/>
      <c r="EI28" s="21"/>
      <c r="EJ28" s="21"/>
      <c r="EK28" s="21"/>
      <c r="EL28" s="21"/>
      <c r="EM28" s="21"/>
      <c r="EN28" s="21"/>
      <c r="EO28" s="21"/>
      <c r="EP28" s="21"/>
      <c r="EQ28" s="21"/>
      <c r="ER28" s="21"/>
      <c r="ES28" s="21"/>
      <c r="ET28" s="21"/>
      <c r="EU28" s="21"/>
      <c r="EV28" s="21"/>
      <c r="EW28" s="21"/>
      <c r="EX28" s="21"/>
      <c r="EY28" s="21"/>
      <c r="EZ28" s="21"/>
      <c r="FA28" s="21"/>
      <c r="FB28" s="21"/>
      <c r="FC28" s="21"/>
      <c r="FD28" s="21"/>
      <c r="FE28" s="21"/>
      <c r="FF28" s="21"/>
      <c r="FG28" s="21"/>
      <c r="FH28" s="21"/>
      <c r="FI28" s="21"/>
      <c r="FJ28" s="21"/>
      <c r="FK28" s="21"/>
      <c r="FL28" s="21"/>
      <c r="FM28" s="21"/>
      <c r="FN28" s="21"/>
      <c r="FO28" s="21"/>
      <c r="FP28" s="21"/>
      <c r="FQ28" s="21"/>
      <c r="FR28" s="21"/>
      <c r="FS28" s="21"/>
      <c r="FT28" s="21"/>
      <c r="FU28" s="21"/>
      <c r="FV28" s="21"/>
      <c r="FW28" s="21"/>
      <c r="FX28" s="21"/>
      <c r="FY28" s="21"/>
      <c r="FZ28" s="21"/>
      <c r="GA28" s="21"/>
      <c r="GB28" s="21"/>
      <c r="GC28" s="21"/>
      <c r="GD28" s="21"/>
      <c r="GE28" s="21"/>
      <c r="GF28" s="21"/>
      <c r="GG28" s="21"/>
      <c r="GH28" s="21"/>
      <c r="GI28" s="21"/>
      <c r="GJ28" s="21"/>
      <c r="GK28" s="21"/>
      <c r="GL28" s="21"/>
      <c r="GM28" s="21"/>
      <c r="GN28" s="21"/>
      <c r="GO28" s="21"/>
      <c r="GP28" s="21"/>
      <c r="GQ28" s="21"/>
      <c r="GR28" s="21"/>
      <c r="GS28" s="21"/>
      <c r="GT28" s="21"/>
      <c r="GU28" s="21"/>
      <c r="GV28" s="21"/>
      <c r="GW28" s="21"/>
      <c r="GX28" s="21"/>
      <c r="GY28" s="21"/>
      <c r="GZ28" s="21"/>
      <c r="HA28" s="21"/>
      <c r="HB28" s="21"/>
      <c r="HC28" s="21"/>
      <c r="HD28" s="21"/>
      <c r="HE28" s="21"/>
      <c r="HF28" s="21"/>
      <c r="HG28" s="21"/>
      <c r="HH28" s="21"/>
      <c r="HI28" s="21"/>
      <c r="HJ28" s="21"/>
      <c r="HK28" s="21"/>
      <c r="HL28" s="21"/>
      <c r="HM28" s="21"/>
      <c r="HN28" s="21"/>
      <c r="HO28" s="21"/>
      <c r="HP28" s="21"/>
      <c r="HQ28" s="21"/>
      <c r="HR28" s="21"/>
      <c r="HS28" s="21"/>
      <c r="HT28" s="21"/>
      <c r="HU28" s="21"/>
      <c r="HV28" s="21"/>
      <c r="HW28" s="21"/>
      <c r="HX28" s="21"/>
      <c r="HY28" s="21"/>
      <c r="HZ28" s="21"/>
      <c r="IA28" s="21"/>
      <c r="IB28" s="21"/>
      <c r="IC28" s="21"/>
      <c r="ID28" s="21"/>
      <c r="IE28" s="21"/>
      <c r="IF28" s="21"/>
      <c r="IG28" s="21"/>
      <c r="IH28" s="21"/>
      <c r="II28" s="21"/>
      <c r="IJ28" s="21"/>
      <c r="IK28" s="21"/>
      <c r="IL28" s="21"/>
      <c r="IM28" s="21"/>
      <c r="IN28" s="21"/>
      <c r="IO28" s="21"/>
      <c r="IP28" s="21"/>
      <c r="IQ28" s="21"/>
      <c r="IR28" s="21"/>
      <c r="IS28" s="21"/>
      <c r="IT28" s="21"/>
      <c r="IU28" s="21"/>
      <c r="IV28" s="21"/>
      <c r="IW28" s="21"/>
      <c r="IX28" s="21"/>
      <c r="IY28" s="21"/>
      <c r="IZ28" s="21"/>
      <c r="JA28" s="21"/>
      <c r="JB28" s="21"/>
      <c r="JC28" s="21"/>
      <c r="JD28" s="74"/>
      <c r="JE28" s="26"/>
    </row>
    <row r="29" spans="1:265" x14ac:dyDescent="0.35">
      <c r="A29" s="113" t="str">
        <f t="shared" ca="1" si="14"/>
        <v>5.1</v>
      </c>
      <c r="B29" s="56" t="s">
        <v>52</v>
      </c>
      <c r="C29" s="56" t="s">
        <v>58</v>
      </c>
      <c r="D29" s="56" t="s">
        <v>76</v>
      </c>
      <c r="E29" s="18"/>
      <c r="F29" s="57" t="s">
        <v>81</v>
      </c>
      <c r="G29" s="60"/>
      <c r="H29" s="82" t="s">
        <v>40</v>
      </c>
      <c r="I29" s="81"/>
      <c r="J29" s="81"/>
      <c r="K29" s="72" t="s">
        <v>102</v>
      </c>
      <c r="L29" s="56"/>
      <c r="M29" s="83"/>
      <c r="N29" s="81"/>
      <c r="O29" s="106"/>
      <c r="P29" s="85">
        <v>0</v>
      </c>
      <c r="Q29" s="86">
        <v>44810</v>
      </c>
      <c r="R29" s="86">
        <v>44810</v>
      </c>
      <c r="S29" s="88">
        <f t="shared" si="23"/>
        <v>1</v>
      </c>
      <c r="T29" s="89">
        <v>1</v>
      </c>
      <c r="U29" s="19">
        <f t="shared" ref="U29:U36" si="24">NETWORKDAYS(Q29,R29)</f>
        <v>1</v>
      </c>
      <c r="V29" s="20">
        <f t="shared" ref="V29:V36" si="25">ROUNDDOWN(T29*S29,0)</f>
        <v>1</v>
      </c>
      <c r="W29" s="51">
        <f t="shared" ref="W29:W36" si="26">S29-V29</f>
        <v>0</v>
      </c>
      <c r="X29" s="67" t="str">
        <f>IF(Expenses[[#This Row],[%]]=1,"ja","nein")</f>
        <v>ja</v>
      </c>
      <c r="Y29" s="66"/>
      <c r="Z29" s="21"/>
      <c r="AA29" s="21"/>
      <c r="AB29" s="21"/>
      <c r="AC29" s="21"/>
      <c r="AD29" s="21"/>
      <c r="AE29" s="21"/>
      <c r="AF29" s="21"/>
      <c r="AG29" s="21"/>
      <c r="AH29" s="21"/>
      <c r="AI29" s="21"/>
      <c r="AJ29" s="21"/>
      <c r="AK29" s="21"/>
      <c r="AL29" s="21"/>
      <c r="AM29" s="21"/>
      <c r="AN29" s="21"/>
      <c r="AO29" s="21"/>
      <c r="AP29" s="21"/>
      <c r="AQ29" s="21"/>
      <c r="AR29" s="21"/>
      <c r="AS29" s="21"/>
      <c r="AT29" s="21"/>
      <c r="AU29" s="21"/>
      <c r="AV29" s="21"/>
      <c r="AW29" s="21"/>
      <c r="AX29" s="21"/>
      <c r="AY29" s="21"/>
      <c r="AZ29" s="21"/>
      <c r="BA29" s="21"/>
      <c r="BB29" s="21"/>
      <c r="BC29" s="21"/>
      <c r="BD29" s="21"/>
      <c r="BE29" s="21"/>
      <c r="BF29" s="21"/>
      <c r="BG29" s="21"/>
      <c r="BH29" s="21"/>
      <c r="BI29" s="21"/>
      <c r="BJ29" s="21"/>
      <c r="BK29" s="21"/>
      <c r="BL29" s="21"/>
      <c r="BM29" s="21"/>
      <c r="BN29" s="21"/>
      <c r="BO29" s="21"/>
      <c r="BP29" s="21"/>
      <c r="BQ29" s="21"/>
      <c r="BR29" s="21"/>
      <c r="BS29" s="21"/>
      <c r="BT29" s="21"/>
      <c r="BU29" s="21"/>
      <c r="BV29" s="21"/>
      <c r="BW29" s="21"/>
      <c r="BX29" s="21"/>
      <c r="BY29" s="21"/>
      <c r="BZ29" s="21"/>
      <c r="CA29" s="21"/>
      <c r="CB29" s="21"/>
      <c r="CC29" s="21"/>
      <c r="CD29" s="21"/>
      <c r="CE29" s="21"/>
      <c r="CF29" s="21"/>
      <c r="CG29" s="21"/>
      <c r="CH29" s="21"/>
      <c r="CI29" s="21"/>
      <c r="CJ29" s="21"/>
      <c r="CK29" s="21"/>
      <c r="CL29" s="21"/>
      <c r="CM29" s="21"/>
      <c r="CN29" s="21"/>
      <c r="CO29" s="21"/>
      <c r="CP29" s="21"/>
      <c r="CQ29" s="21"/>
      <c r="CR29" s="21"/>
      <c r="CS29" s="21"/>
      <c r="CT29" s="21"/>
      <c r="CU29" s="21"/>
      <c r="CV29" s="21"/>
      <c r="CW29" s="21"/>
      <c r="CX29" s="21"/>
      <c r="CY29" s="21"/>
      <c r="CZ29" s="21"/>
      <c r="DA29" s="21"/>
      <c r="DB29" s="21"/>
      <c r="DC29" s="21"/>
      <c r="DD29" s="21"/>
      <c r="DE29" s="21"/>
      <c r="DF29" s="21"/>
      <c r="DG29" s="21"/>
      <c r="DH29" s="21"/>
      <c r="DI29" s="21"/>
      <c r="DJ29" s="21"/>
      <c r="DK29" s="21"/>
      <c r="DL29" s="21"/>
      <c r="DM29" s="21"/>
      <c r="DN29" s="21"/>
      <c r="DO29" s="21"/>
      <c r="DP29" s="21"/>
      <c r="DQ29" s="21"/>
      <c r="DR29" s="21"/>
      <c r="DS29" s="21"/>
      <c r="DT29" s="21"/>
      <c r="DU29" s="21"/>
      <c r="DV29" s="21"/>
      <c r="DW29" s="21"/>
      <c r="DX29" s="21"/>
      <c r="DY29" s="21"/>
      <c r="DZ29" s="21"/>
      <c r="EA29" s="21"/>
      <c r="EB29" s="21"/>
      <c r="EC29" s="21"/>
      <c r="ED29" s="21"/>
      <c r="EE29" s="21"/>
      <c r="EF29" s="21"/>
      <c r="EG29" s="21"/>
      <c r="EH29" s="21"/>
      <c r="EI29" s="21"/>
      <c r="EJ29" s="21"/>
      <c r="EK29" s="21"/>
      <c r="EL29" s="21"/>
      <c r="EM29" s="21"/>
      <c r="EN29" s="21"/>
      <c r="EO29" s="21"/>
      <c r="EP29" s="21"/>
      <c r="EQ29" s="21"/>
      <c r="ER29" s="21"/>
      <c r="ES29" s="21"/>
      <c r="ET29" s="21"/>
      <c r="EU29" s="21"/>
      <c r="EV29" s="21"/>
      <c r="EW29" s="21"/>
      <c r="EX29" s="21"/>
      <c r="EY29" s="21"/>
      <c r="EZ29" s="21"/>
      <c r="FA29" s="21"/>
      <c r="FB29" s="21"/>
      <c r="FC29" s="21"/>
      <c r="FD29" s="21"/>
      <c r="FE29" s="21"/>
      <c r="FF29" s="21"/>
      <c r="FG29" s="21"/>
      <c r="FH29" s="21"/>
      <c r="FI29" s="21"/>
      <c r="FJ29" s="21"/>
      <c r="FK29" s="21"/>
      <c r="FL29" s="21"/>
      <c r="FM29" s="21"/>
      <c r="FN29" s="21"/>
      <c r="FO29" s="21"/>
      <c r="FP29" s="21"/>
      <c r="FQ29" s="21"/>
      <c r="FR29" s="21"/>
      <c r="FS29" s="21"/>
      <c r="FT29" s="21"/>
      <c r="FU29" s="21"/>
      <c r="FV29" s="21"/>
      <c r="FW29" s="21"/>
      <c r="FX29" s="21"/>
      <c r="FY29" s="21"/>
      <c r="FZ29" s="21"/>
      <c r="GA29" s="21"/>
      <c r="GB29" s="21"/>
      <c r="GC29" s="21"/>
      <c r="GD29" s="21"/>
      <c r="GE29" s="21"/>
      <c r="GF29" s="21"/>
      <c r="GG29" s="21"/>
      <c r="GH29" s="21"/>
      <c r="GI29" s="21"/>
      <c r="GJ29" s="21"/>
      <c r="GK29" s="21"/>
      <c r="GL29" s="21"/>
      <c r="GM29" s="21"/>
      <c r="GN29" s="21"/>
      <c r="GO29" s="21"/>
      <c r="GP29" s="21"/>
      <c r="GQ29" s="21"/>
      <c r="GR29" s="21"/>
      <c r="GS29" s="21"/>
      <c r="GT29" s="21"/>
      <c r="GU29" s="21"/>
      <c r="GV29" s="21"/>
      <c r="GW29" s="21"/>
      <c r="GX29" s="21"/>
      <c r="GY29" s="21"/>
      <c r="GZ29" s="21"/>
      <c r="HA29" s="21"/>
      <c r="HB29" s="21"/>
      <c r="HC29" s="21"/>
      <c r="HD29" s="21"/>
      <c r="HE29" s="21"/>
      <c r="HF29" s="21"/>
      <c r="HG29" s="21"/>
      <c r="HH29" s="21"/>
      <c r="HI29" s="21"/>
      <c r="HJ29" s="21"/>
      <c r="HK29" s="21"/>
      <c r="HL29" s="21"/>
      <c r="HM29" s="21"/>
      <c r="HN29" s="21"/>
      <c r="HO29" s="21"/>
      <c r="HP29" s="21"/>
      <c r="HQ29" s="21"/>
      <c r="HR29" s="21"/>
      <c r="HS29" s="21"/>
      <c r="HT29" s="21"/>
      <c r="HU29" s="21"/>
      <c r="HV29" s="21"/>
      <c r="HW29" s="21"/>
      <c r="HX29" s="21"/>
      <c r="HY29" s="21"/>
      <c r="HZ29" s="21"/>
      <c r="IA29" s="21"/>
      <c r="IB29" s="21"/>
      <c r="IC29" s="21"/>
      <c r="ID29" s="21"/>
      <c r="IE29" s="21"/>
      <c r="IF29" s="21"/>
      <c r="IG29" s="21"/>
      <c r="IH29" s="21"/>
      <c r="II29" s="21"/>
      <c r="IJ29" s="21"/>
      <c r="IK29" s="21"/>
      <c r="IL29" s="21"/>
      <c r="IM29" s="21"/>
      <c r="IN29" s="21"/>
      <c r="IO29" s="21"/>
      <c r="IP29" s="21"/>
      <c r="IQ29" s="21"/>
      <c r="IR29" s="21"/>
      <c r="IS29" s="21"/>
      <c r="IT29" s="21"/>
      <c r="IU29" s="21"/>
      <c r="IV29" s="21"/>
      <c r="IW29" s="21"/>
      <c r="IX29" s="21"/>
      <c r="IY29" s="21"/>
      <c r="IZ29" s="21"/>
      <c r="JA29" s="21"/>
      <c r="JB29" s="21"/>
      <c r="JC29" s="21"/>
      <c r="JD29" s="74"/>
      <c r="JE29" s="26"/>
    </row>
    <row r="30" spans="1:265" x14ac:dyDescent="0.35">
      <c r="A30" s="113" t="str">
        <f t="shared" ca="1" si="14"/>
        <v>5.2</v>
      </c>
      <c r="B30" s="56" t="s">
        <v>53</v>
      </c>
      <c r="C30" s="56" t="s">
        <v>59</v>
      </c>
      <c r="D30" s="56" t="s">
        <v>77</v>
      </c>
      <c r="E30" s="18"/>
      <c r="F30" s="57" t="s">
        <v>83</v>
      </c>
      <c r="G30" s="60"/>
      <c r="H30" s="82" t="s">
        <v>40</v>
      </c>
      <c r="I30" s="81"/>
      <c r="J30" s="81"/>
      <c r="K30" s="72" t="s">
        <v>102</v>
      </c>
      <c r="L30" s="56"/>
      <c r="M30" s="83"/>
      <c r="N30" s="81"/>
      <c r="O30" s="106"/>
      <c r="P30" s="85">
        <v>0</v>
      </c>
      <c r="Q30" s="86">
        <v>44811</v>
      </c>
      <c r="R30" s="86">
        <v>44811</v>
      </c>
      <c r="S30" s="88">
        <f>IF(R30-Q30=0,1,R30-Q30)</f>
        <v>1</v>
      </c>
      <c r="T30" s="89">
        <v>1</v>
      </c>
      <c r="U30" s="19">
        <f>NETWORKDAYS(Q30,R30)</f>
        <v>1</v>
      </c>
      <c r="V30" s="20">
        <f>ROUNDDOWN(T30*S30,0)</f>
        <v>1</v>
      </c>
      <c r="W30" s="51">
        <f>S30-V30</f>
        <v>0</v>
      </c>
      <c r="X30" s="67" t="str">
        <f>IF(Expenses[[#This Row],[%]]=1,"ja","nein")</f>
        <v>ja</v>
      </c>
      <c r="Y30" s="66"/>
      <c r="Z30" s="21"/>
      <c r="AA30" s="21"/>
      <c r="AB30" s="21"/>
      <c r="AC30" s="21"/>
      <c r="AD30" s="21"/>
      <c r="AE30" s="21"/>
      <c r="AF30" s="21"/>
      <c r="AG30" s="21"/>
      <c r="AH30" s="21"/>
      <c r="AI30" s="21"/>
      <c r="AJ30" s="21"/>
      <c r="AK30" s="21"/>
      <c r="AL30" s="21"/>
      <c r="AM30" s="21"/>
      <c r="AN30" s="21"/>
      <c r="AO30" s="21"/>
      <c r="AP30" s="21"/>
      <c r="AQ30" s="21"/>
      <c r="AR30" s="21"/>
      <c r="AS30" s="21"/>
      <c r="AT30" s="21"/>
      <c r="AU30" s="21"/>
      <c r="AV30" s="21"/>
      <c r="AW30" s="21"/>
      <c r="AX30" s="21"/>
      <c r="AY30" s="21"/>
      <c r="AZ30" s="21"/>
      <c r="BA30" s="21"/>
      <c r="BB30" s="21"/>
      <c r="BC30" s="21"/>
      <c r="BD30" s="21"/>
      <c r="BE30" s="21"/>
      <c r="BF30" s="21"/>
      <c r="BG30" s="21"/>
      <c r="BH30" s="21"/>
      <c r="BI30" s="21"/>
      <c r="BJ30" s="21"/>
      <c r="BK30" s="21"/>
      <c r="BL30" s="21"/>
      <c r="BM30" s="21"/>
      <c r="BN30" s="21"/>
      <c r="BO30" s="21"/>
      <c r="BP30" s="21"/>
      <c r="BQ30" s="21"/>
      <c r="BR30" s="21"/>
      <c r="BS30" s="21"/>
      <c r="BT30" s="21"/>
      <c r="BU30" s="21"/>
      <c r="BV30" s="21"/>
      <c r="BW30" s="21"/>
      <c r="BX30" s="21"/>
      <c r="BY30" s="21"/>
      <c r="BZ30" s="21"/>
      <c r="CA30" s="21"/>
      <c r="CB30" s="21"/>
      <c r="CC30" s="21"/>
      <c r="CD30" s="21"/>
      <c r="CE30" s="21"/>
      <c r="CF30" s="21"/>
      <c r="CG30" s="21"/>
      <c r="CH30" s="21"/>
      <c r="CI30" s="21"/>
      <c r="CJ30" s="21"/>
      <c r="CK30" s="21"/>
      <c r="CL30" s="21"/>
      <c r="CM30" s="21"/>
      <c r="CN30" s="21"/>
      <c r="CO30" s="21"/>
      <c r="CP30" s="21"/>
      <c r="CQ30" s="21"/>
      <c r="CR30" s="21"/>
      <c r="CS30" s="21"/>
      <c r="CT30" s="21"/>
      <c r="CU30" s="21"/>
      <c r="CV30" s="21"/>
      <c r="CW30" s="21"/>
      <c r="CX30" s="21"/>
      <c r="CY30" s="21"/>
      <c r="CZ30" s="21"/>
      <c r="DA30" s="21"/>
      <c r="DB30" s="21"/>
      <c r="DC30" s="21"/>
      <c r="DD30" s="21"/>
      <c r="DE30" s="21"/>
      <c r="DF30" s="21"/>
      <c r="DG30" s="21"/>
      <c r="DH30" s="21"/>
      <c r="DI30" s="21"/>
      <c r="DJ30" s="21"/>
      <c r="DK30" s="21"/>
      <c r="DL30" s="21"/>
      <c r="DM30" s="21"/>
      <c r="DN30" s="21"/>
      <c r="DO30" s="21"/>
      <c r="DP30" s="21"/>
      <c r="DQ30" s="21"/>
      <c r="DR30" s="21"/>
      <c r="DS30" s="21"/>
      <c r="DT30" s="21"/>
      <c r="DU30" s="21"/>
      <c r="DV30" s="21"/>
      <c r="DW30" s="21"/>
      <c r="DX30" s="21"/>
      <c r="DY30" s="21"/>
      <c r="DZ30" s="21"/>
      <c r="EA30" s="21"/>
      <c r="EB30" s="21"/>
      <c r="EC30" s="21"/>
      <c r="ED30" s="21"/>
      <c r="EE30" s="21"/>
      <c r="EF30" s="21"/>
      <c r="EG30" s="21"/>
      <c r="EH30" s="21"/>
      <c r="EI30" s="21"/>
      <c r="EJ30" s="21"/>
      <c r="EK30" s="21"/>
      <c r="EL30" s="21"/>
      <c r="EM30" s="21"/>
      <c r="EN30" s="21"/>
      <c r="EO30" s="21"/>
      <c r="EP30" s="21"/>
      <c r="EQ30" s="21"/>
      <c r="ER30" s="21"/>
      <c r="ES30" s="21"/>
      <c r="ET30" s="21"/>
      <c r="EU30" s="21"/>
      <c r="EV30" s="21"/>
      <c r="EW30" s="21"/>
      <c r="EX30" s="21"/>
      <c r="EY30" s="21"/>
      <c r="EZ30" s="21"/>
      <c r="FA30" s="21"/>
      <c r="FB30" s="21"/>
      <c r="FC30" s="21"/>
      <c r="FD30" s="21"/>
      <c r="FE30" s="21"/>
      <c r="FF30" s="21"/>
      <c r="FG30" s="21"/>
      <c r="FH30" s="21"/>
      <c r="FI30" s="21"/>
      <c r="FJ30" s="21"/>
      <c r="FK30" s="21"/>
      <c r="FL30" s="21"/>
      <c r="FM30" s="21"/>
      <c r="FN30" s="21"/>
      <c r="FO30" s="21"/>
      <c r="FP30" s="21"/>
      <c r="FQ30" s="21"/>
      <c r="FR30" s="21"/>
      <c r="FS30" s="21"/>
      <c r="FT30" s="21"/>
      <c r="FU30" s="21"/>
      <c r="FV30" s="21"/>
      <c r="FW30" s="21"/>
      <c r="FX30" s="21"/>
      <c r="FY30" s="21"/>
      <c r="FZ30" s="21"/>
      <c r="GA30" s="21"/>
      <c r="GB30" s="21"/>
      <c r="GC30" s="21"/>
      <c r="GD30" s="21"/>
      <c r="GE30" s="21"/>
      <c r="GF30" s="21"/>
      <c r="GG30" s="21"/>
      <c r="GH30" s="21"/>
      <c r="GI30" s="21"/>
      <c r="GJ30" s="21"/>
      <c r="GK30" s="21"/>
      <c r="GL30" s="21"/>
      <c r="GM30" s="21"/>
      <c r="GN30" s="21"/>
      <c r="GO30" s="21"/>
      <c r="GP30" s="21"/>
      <c r="GQ30" s="21"/>
      <c r="GR30" s="21"/>
      <c r="GS30" s="21"/>
      <c r="GT30" s="21"/>
      <c r="GU30" s="21"/>
      <c r="GV30" s="21"/>
      <c r="GW30" s="21"/>
      <c r="GX30" s="21"/>
      <c r="GY30" s="21"/>
      <c r="GZ30" s="21"/>
      <c r="HA30" s="21"/>
      <c r="HB30" s="21"/>
      <c r="HC30" s="21"/>
      <c r="HD30" s="21"/>
      <c r="HE30" s="21"/>
      <c r="HF30" s="21"/>
      <c r="HG30" s="21"/>
      <c r="HH30" s="21"/>
      <c r="HI30" s="21"/>
      <c r="HJ30" s="21"/>
      <c r="HK30" s="21"/>
      <c r="HL30" s="21"/>
      <c r="HM30" s="21"/>
      <c r="HN30" s="21"/>
      <c r="HO30" s="21"/>
      <c r="HP30" s="21"/>
      <c r="HQ30" s="21"/>
      <c r="HR30" s="21"/>
      <c r="HS30" s="21"/>
      <c r="HT30" s="21"/>
      <c r="HU30" s="21"/>
      <c r="HV30" s="21"/>
      <c r="HW30" s="21"/>
      <c r="HX30" s="21"/>
      <c r="HY30" s="21"/>
      <c r="HZ30" s="21"/>
      <c r="IA30" s="21"/>
      <c r="IB30" s="21"/>
      <c r="IC30" s="21"/>
      <c r="ID30" s="21"/>
      <c r="IE30" s="21"/>
      <c r="IF30" s="21"/>
      <c r="IG30" s="21"/>
      <c r="IH30" s="21"/>
      <c r="II30" s="21"/>
      <c r="IJ30" s="21"/>
      <c r="IK30" s="21"/>
      <c r="IL30" s="21"/>
      <c r="IM30" s="21"/>
      <c r="IN30" s="21"/>
      <c r="IO30" s="21"/>
      <c r="IP30" s="21"/>
      <c r="IQ30" s="21"/>
      <c r="IR30" s="21"/>
      <c r="IS30" s="21"/>
      <c r="IT30" s="21"/>
      <c r="IU30" s="21"/>
      <c r="IV30" s="21"/>
      <c r="IW30" s="21"/>
      <c r="IX30" s="21"/>
      <c r="IY30" s="21"/>
      <c r="IZ30" s="21"/>
      <c r="JA30" s="21"/>
      <c r="JB30" s="21"/>
      <c r="JC30" s="21"/>
      <c r="JD30" s="74"/>
      <c r="JE30" s="26"/>
    </row>
    <row r="31" spans="1:265" x14ac:dyDescent="0.35">
      <c r="A31" s="112">
        <v>6</v>
      </c>
      <c r="B31" s="59" t="s">
        <v>49</v>
      </c>
      <c r="C31" s="55"/>
      <c r="D31" s="93" t="str">
        <f t="array" ref="D31">IF(OR(EXACT($O$8,D38:D41))=TRUE,$O$8,"f")</f>
        <v>f</v>
      </c>
      <c r="E31" s="55"/>
      <c r="F31" s="55"/>
      <c r="G31" s="55"/>
      <c r="H31" s="58"/>
      <c r="I31" s="58"/>
      <c r="J31" s="58"/>
      <c r="K31" s="58"/>
      <c r="L31" s="121"/>
      <c r="M31" s="58"/>
      <c r="N31" s="58"/>
      <c r="O31" s="104"/>
      <c r="P31" s="78"/>
      <c r="Q31" s="90">
        <f>MIN(Q32)</f>
        <v>44803</v>
      </c>
      <c r="R31" s="90">
        <f>MAX(R32)</f>
        <v>44803</v>
      </c>
      <c r="S31" s="91">
        <f>IF(R31-Q31=0,1,R31-Q31)</f>
        <v>1</v>
      </c>
      <c r="T31" s="92">
        <f>SUMPRODUCT(S32:S32,T32:T32)/SUM(S32:S32)</f>
        <v>1</v>
      </c>
      <c r="U31" s="19">
        <f t="shared" si="24"/>
        <v>1</v>
      </c>
      <c r="V31" s="20">
        <f t="shared" si="25"/>
        <v>1</v>
      </c>
      <c r="W31" s="51">
        <f t="shared" si="26"/>
        <v>0</v>
      </c>
      <c r="X31" s="67" t="str">
        <f>IF(Expenses[[#This Row],[%]]=1,"ja","nein")</f>
        <v>ja</v>
      </c>
      <c r="Y31" s="66"/>
      <c r="Z31" s="21"/>
      <c r="AA31" s="21"/>
      <c r="AB31" s="21"/>
      <c r="AC31" s="21"/>
      <c r="AD31" s="21"/>
      <c r="AE31" s="21"/>
      <c r="AF31" s="21"/>
      <c r="AG31" s="21"/>
      <c r="AH31" s="21"/>
      <c r="AI31" s="21"/>
      <c r="AJ31" s="21"/>
      <c r="AK31" s="21"/>
      <c r="AL31" s="21"/>
      <c r="AM31" s="21"/>
      <c r="AN31" s="21"/>
      <c r="AO31" s="21"/>
      <c r="AP31" s="21"/>
      <c r="AQ31" s="21"/>
      <c r="AR31" s="21"/>
      <c r="AS31" s="21"/>
      <c r="AT31" s="21"/>
      <c r="AU31" s="21"/>
      <c r="AV31" s="21"/>
      <c r="AW31" s="21"/>
      <c r="AX31" s="21"/>
      <c r="AY31" s="21"/>
      <c r="AZ31" s="21"/>
      <c r="BA31" s="21"/>
      <c r="BB31" s="21"/>
      <c r="BC31" s="21"/>
      <c r="BD31" s="21"/>
      <c r="BE31" s="21"/>
      <c r="BF31" s="21"/>
      <c r="BG31" s="21"/>
      <c r="BH31" s="21"/>
      <c r="BI31" s="21"/>
      <c r="BJ31" s="21"/>
      <c r="BK31" s="21"/>
      <c r="BL31" s="21"/>
      <c r="BM31" s="21"/>
      <c r="BN31" s="21"/>
      <c r="BO31" s="21"/>
      <c r="BP31" s="21"/>
      <c r="BQ31" s="21"/>
      <c r="BR31" s="21"/>
      <c r="BS31" s="21"/>
      <c r="BT31" s="21"/>
      <c r="BU31" s="21"/>
      <c r="BV31" s="21"/>
      <c r="BW31" s="21"/>
      <c r="BX31" s="21"/>
      <c r="BY31" s="21"/>
      <c r="BZ31" s="21"/>
      <c r="CA31" s="21"/>
      <c r="CB31" s="21"/>
      <c r="CC31" s="21"/>
      <c r="CD31" s="21"/>
      <c r="CE31" s="21"/>
      <c r="CF31" s="21"/>
      <c r="CG31" s="21"/>
      <c r="CH31" s="21"/>
      <c r="CI31" s="21"/>
      <c r="CJ31" s="21"/>
      <c r="CK31" s="21"/>
      <c r="CL31" s="21"/>
      <c r="CM31" s="21"/>
      <c r="CN31" s="21"/>
      <c r="CO31" s="21"/>
      <c r="CP31" s="21"/>
      <c r="CQ31" s="21"/>
      <c r="CR31" s="21"/>
      <c r="CS31" s="21"/>
      <c r="CT31" s="21"/>
      <c r="CU31" s="21"/>
      <c r="CV31" s="21"/>
      <c r="CW31" s="21"/>
      <c r="CX31" s="21"/>
      <c r="CY31" s="21"/>
      <c r="CZ31" s="21"/>
      <c r="DA31" s="21"/>
      <c r="DB31" s="21"/>
      <c r="DC31" s="21"/>
      <c r="DD31" s="21"/>
      <c r="DE31" s="21"/>
      <c r="DF31" s="21"/>
      <c r="DG31" s="21"/>
      <c r="DH31" s="21"/>
      <c r="DI31" s="21"/>
      <c r="DJ31" s="21"/>
      <c r="DK31" s="21"/>
      <c r="DL31" s="21"/>
      <c r="DM31" s="21"/>
      <c r="DN31" s="21"/>
      <c r="DO31" s="21"/>
      <c r="DP31" s="21"/>
      <c r="DQ31" s="21"/>
      <c r="DR31" s="21"/>
      <c r="DS31" s="21"/>
      <c r="DT31" s="21"/>
      <c r="DU31" s="21"/>
      <c r="DV31" s="21"/>
      <c r="DW31" s="21"/>
      <c r="DX31" s="21"/>
      <c r="DY31" s="21"/>
      <c r="DZ31" s="21"/>
      <c r="EA31" s="21"/>
      <c r="EB31" s="21"/>
      <c r="EC31" s="21"/>
      <c r="ED31" s="21"/>
      <c r="EE31" s="21"/>
      <c r="EF31" s="21"/>
      <c r="EG31" s="21"/>
      <c r="EH31" s="21"/>
      <c r="EI31" s="21"/>
      <c r="EJ31" s="21"/>
      <c r="EK31" s="21"/>
      <c r="EL31" s="21"/>
      <c r="EM31" s="21"/>
      <c r="EN31" s="21"/>
      <c r="EO31" s="21"/>
      <c r="EP31" s="21"/>
      <c r="EQ31" s="21"/>
      <c r="ER31" s="21"/>
      <c r="ES31" s="21"/>
      <c r="ET31" s="21"/>
      <c r="EU31" s="21"/>
      <c r="EV31" s="21"/>
      <c r="EW31" s="21"/>
      <c r="EX31" s="21"/>
      <c r="EY31" s="21"/>
      <c r="EZ31" s="21"/>
      <c r="FA31" s="21"/>
      <c r="FB31" s="21"/>
      <c r="FC31" s="21"/>
      <c r="FD31" s="21"/>
      <c r="FE31" s="21"/>
      <c r="FF31" s="21"/>
      <c r="FG31" s="21"/>
      <c r="FH31" s="21"/>
      <c r="FI31" s="21"/>
      <c r="FJ31" s="21"/>
      <c r="FK31" s="21"/>
      <c r="FL31" s="21"/>
      <c r="FM31" s="21"/>
      <c r="FN31" s="21"/>
      <c r="FO31" s="21"/>
      <c r="FP31" s="21"/>
      <c r="FQ31" s="21"/>
      <c r="FR31" s="21"/>
      <c r="FS31" s="21"/>
      <c r="FT31" s="21"/>
      <c r="FU31" s="21"/>
      <c r="FV31" s="21"/>
      <c r="FW31" s="21"/>
      <c r="FX31" s="21"/>
      <c r="FY31" s="21"/>
      <c r="FZ31" s="21"/>
      <c r="GA31" s="21"/>
      <c r="GB31" s="21"/>
      <c r="GC31" s="21"/>
      <c r="GD31" s="21"/>
      <c r="GE31" s="21"/>
      <c r="GF31" s="21"/>
      <c r="GG31" s="21"/>
      <c r="GH31" s="21"/>
      <c r="GI31" s="21"/>
      <c r="GJ31" s="21"/>
      <c r="GK31" s="21"/>
      <c r="GL31" s="21"/>
      <c r="GM31" s="21"/>
      <c r="GN31" s="21"/>
      <c r="GO31" s="21"/>
      <c r="GP31" s="21"/>
      <c r="GQ31" s="21"/>
      <c r="GR31" s="21"/>
      <c r="GS31" s="21"/>
      <c r="GT31" s="21"/>
      <c r="GU31" s="21"/>
      <c r="GV31" s="21"/>
      <c r="GW31" s="21"/>
      <c r="GX31" s="21"/>
      <c r="GY31" s="21"/>
      <c r="GZ31" s="21"/>
      <c r="HA31" s="21"/>
      <c r="HB31" s="21"/>
      <c r="HC31" s="21"/>
      <c r="HD31" s="21"/>
      <c r="HE31" s="21"/>
      <c r="HF31" s="21"/>
      <c r="HG31" s="21"/>
      <c r="HH31" s="21"/>
      <c r="HI31" s="21"/>
      <c r="HJ31" s="21"/>
      <c r="HK31" s="21"/>
      <c r="HL31" s="21"/>
      <c r="HM31" s="21"/>
      <c r="HN31" s="21"/>
      <c r="HO31" s="21"/>
      <c r="HP31" s="21"/>
      <c r="HQ31" s="21"/>
      <c r="HR31" s="21"/>
      <c r="HS31" s="21"/>
      <c r="HT31" s="21"/>
      <c r="HU31" s="21"/>
      <c r="HV31" s="21"/>
      <c r="HW31" s="21"/>
      <c r="HX31" s="21"/>
      <c r="HY31" s="21"/>
      <c r="HZ31" s="21"/>
      <c r="IA31" s="21"/>
      <c r="IB31" s="21"/>
      <c r="IC31" s="21"/>
      <c r="ID31" s="21"/>
      <c r="IE31" s="21"/>
      <c r="IF31" s="21"/>
      <c r="IG31" s="21"/>
      <c r="IH31" s="21"/>
      <c r="II31" s="21"/>
      <c r="IJ31" s="21"/>
      <c r="IK31" s="21"/>
      <c r="IL31" s="21"/>
      <c r="IM31" s="21"/>
      <c r="IN31" s="21"/>
      <c r="IO31" s="21"/>
      <c r="IP31" s="21"/>
      <c r="IQ31" s="21"/>
      <c r="IR31" s="21"/>
      <c r="IS31" s="21"/>
      <c r="IT31" s="21"/>
      <c r="IU31" s="21"/>
      <c r="IV31" s="21"/>
      <c r="IW31" s="21"/>
      <c r="IX31" s="21"/>
      <c r="IY31" s="21"/>
      <c r="IZ31" s="21"/>
      <c r="JA31" s="21"/>
      <c r="JB31" s="21"/>
      <c r="JC31" s="21"/>
      <c r="JD31" s="74"/>
      <c r="JE31" s="26"/>
    </row>
    <row r="32" spans="1:265" x14ac:dyDescent="0.35">
      <c r="A32" s="113" t="str">
        <f t="shared" ca="1" si="14"/>
        <v>6.1</v>
      </c>
      <c r="B32" s="56" t="s">
        <v>52</v>
      </c>
      <c r="C32" s="56" t="s">
        <v>58</v>
      </c>
      <c r="D32" s="56" t="s">
        <v>78</v>
      </c>
      <c r="E32" s="126"/>
      <c r="F32" s="57" t="s">
        <v>81</v>
      </c>
      <c r="G32" s="56"/>
      <c r="H32" s="82" t="s">
        <v>40</v>
      </c>
      <c r="I32" s="81"/>
      <c r="J32" s="142"/>
      <c r="K32" s="72" t="s">
        <v>101</v>
      </c>
      <c r="L32" s="124"/>
      <c r="M32" s="143"/>
      <c r="N32" s="141"/>
      <c r="O32" s="129"/>
      <c r="P32" s="85"/>
      <c r="Q32" s="139">
        <v>44803</v>
      </c>
      <c r="R32" s="140">
        <v>44803</v>
      </c>
      <c r="S32" s="131">
        <f>IF(R32-Q32=0,1,R32-Q32)</f>
        <v>1</v>
      </c>
      <c r="T32" s="132">
        <v>1</v>
      </c>
      <c r="U32" s="131">
        <f>NETWORKDAYS(Q32,R32)</f>
        <v>1</v>
      </c>
      <c r="V32" s="133">
        <f>ROUNDDOWN(T32*S32,0)</f>
        <v>1</v>
      </c>
      <c r="W32" s="134">
        <f>S32-V32</f>
        <v>0</v>
      </c>
      <c r="X32" s="135" t="str">
        <f>IF(Expenses[[#This Row],[%]]=1,"ja","nein")</f>
        <v>ja</v>
      </c>
      <c r="Y32" s="136"/>
      <c r="Z32" s="137"/>
      <c r="AA32" s="21"/>
      <c r="AB32" s="21"/>
      <c r="AC32" s="21"/>
      <c r="AD32" s="21"/>
      <c r="AE32" s="21"/>
      <c r="AF32" s="21"/>
      <c r="AG32" s="21"/>
      <c r="AH32" s="21"/>
      <c r="AI32" s="21"/>
      <c r="AJ32" s="21"/>
      <c r="AK32" s="21"/>
      <c r="AL32" s="21"/>
      <c r="AM32" s="21"/>
      <c r="AN32" s="21"/>
      <c r="AO32" s="21"/>
      <c r="AP32" s="21"/>
      <c r="AQ32" s="21"/>
      <c r="AR32" s="21"/>
      <c r="AS32" s="21"/>
      <c r="AT32" s="21"/>
      <c r="AU32" s="21"/>
      <c r="AV32" s="21"/>
      <c r="AW32" s="21"/>
      <c r="AX32" s="21"/>
      <c r="AY32" s="21"/>
      <c r="AZ32" s="21"/>
      <c r="BA32" s="21"/>
      <c r="BB32" s="21"/>
      <c r="BC32" s="21"/>
      <c r="BD32" s="21"/>
      <c r="BE32" s="21"/>
      <c r="BF32" s="21"/>
      <c r="BG32" s="21"/>
      <c r="BH32" s="21"/>
      <c r="BI32" s="21"/>
      <c r="BJ32" s="21"/>
      <c r="BK32" s="21"/>
      <c r="BL32" s="21"/>
      <c r="BM32" s="21"/>
      <c r="BN32" s="21"/>
      <c r="BO32" s="21"/>
      <c r="BP32" s="21"/>
      <c r="BQ32" s="21"/>
      <c r="BR32" s="21"/>
      <c r="BS32" s="21"/>
      <c r="BT32" s="21"/>
      <c r="BU32" s="21"/>
      <c r="BV32" s="21"/>
      <c r="BW32" s="21"/>
      <c r="BX32" s="21"/>
      <c r="BY32" s="21"/>
      <c r="BZ32" s="21"/>
      <c r="CA32" s="21"/>
      <c r="CB32" s="21"/>
      <c r="CC32" s="21"/>
      <c r="CD32" s="21"/>
      <c r="CE32" s="21"/>
      <c r="CF32" s="21"/>
      <c r="CG32" s="21"/>
      <c r="CH32" s="21"/>
      <c r="CI32" s="21"/>
      <c r="CJ32" s="21"/>
      <c r="CK32" s="21"/>
      <c r="CL32" s="21"/>
      <c r="CM32" s="21"/>
      <c r="CN32" s="21"/>
      <c r="CO32" s="21"/>
      <c r="CP32" s="21"/>
      <c r="CQ32" s="21"/>
      <c r="CR32" s="21"/>
      <c r="CS32" s="21"/>
      <c r="CT32" s="21"/>
      <c r="CU32" s="21"/>
      <c r="CV32" s="21"/>
      <c r="CW32" s="21"/>
      <c r="CX32" s="21"/>
      <c r="CY32" s="21"/>
      <c r="CZ32" s="21"/>
      <c r="DA32" s="21"/>
      <c r="DB32" s="21"/>
      <c r="DC32" s="21"/>
      <c r="DD32" s="21"/>
      <c r="DE32" s="21"/>
      <c r="DF32" s="21"/>
      <c r="DG32" s="21"/>
      <c r="DH32" s="21"/>
      <c r="DI32" s="21"/>
      <c r="DJ32" s="21"/>
      <c r="DK32" s="21"/>
      <c r="DL32" s="21"/>
      <c r="DM32" s="21"/>
      <c r="DN32" s="21"/>
      <c r="DO32" s="21"/>
      <c r="DP32" s="21"/>
      <c r="DQ32" s="21"/>
      <c r="DR32" s="21"/>
      <c r="DS32" s="21"/>
      <c r="DT32" s="21"/>
      <c r="DU32" s="21"/>
      <c r="DV32" s="21"/>
      <c r="DW32" s="21"/>
      <c r="DX32" s="21"/>
      <c r="DY32" s="21"/>
      <c r="DZ32" s="21"/>
      <c r="EA32" s="21"/>
      <c r="EB32" s="21"/>
      <c r="EC32" s="21"/>
      <c r="ED32" s="21"/>
      <c r="EE32" s="21"/>
      <c r="EF32" s="21"/>
      <c r="EG32" s="21"/>
      <c r="EH32" s="21"/>
      <c r="EI32" s="21"/>
      <c r="EJ32" s="21"/>
      <c r="EK32" s="21"/>
      <c r="EL32" s="21"/>
      <c r="EM32" s="21"/>
      <c r="EN32" s="21"/>
      <c r="EO32" s="21"/>
      <c r="EP32" s="21"/>
      <c r="EQ32" s="21"/>
      <c r="ER32" s="21"/>
      <c r="ES32" s="21"/>
      <c r="ET32" s="21"/>
      <c r="EU32" s="21"/>
      <c r="EV32" s="21"/>
      <c r="EW32" s="21"/>
      <c r="EX32" s="21"/>
      <c r="EY32" s="21"/>
      <c r="EZ32" s="21"/>
      <c r="FA32" s="21"/>
      <c r="FB32" s="21"/>
      <c r="FC32" s="21"/>
      <c r="FD32" s="21"/>
      <c r="FE32" s="21"/>
      <c r="FF32" s="21"/>
      <c r="FG32" s="21"/>
      <c r="FH32" s="21"/>
      <c r="FI32" s="21"/>
      <c r="FJ32" s="21"/>
      <c r="FK32" s="21"/>
      <c r="FL32" s="21"/>
      <c r="FM32" s="21"/>
      <c r="FN32" s="21"/>
      <c r="FO32" s="21"/>
      <c r="FP32" s="21"/>
      <c r="FQ32" s="21"/>
      <c r="FR32" s="21"/>
      <c r="FS32" s="21"/>
      <c r="FT32" s="21"/>
      <c r="FU32" s="21"/>
      <c r="FV32" s="21"/>
      <c r="FW32" s="21"/>
      <c r="FX32" s="21"/>
      <c r="FY32" s="21"/>
      <c r="FZ32" s="21"/>
      <c r="GA32" s="21"/>
      <c r="GB32" s="21"/>
      <c r="GC32" s="21"/>
      <c r="GD32" s="21"/>
      <c r="GE32" s="21"/>
      <c r="GF32" s="21"/>
      <c r="GG32" s="21"/>
      <c r="GH32" s="21"/>
      <c r="GI32" s="21"/>
      <c r="GJ32" s="21"/>
      <c r="GK32" s="21"/>
      <c r="GL32" s="21"/>
      <c r="GM32" s="21"/>
      <c r="GN32" s="21"/>
      <c r="GO32" s="21"/>
      <c r="GP32" s="21"/>
      <c r="GQ32" s="21"/>
      <c r="GR32" s="21"/>
      <c r="GS32" s="21"/>
      <c r="GT32" s="21"/>
      <c r="GU32" s="21"/>
      <c r="GV32" s="21"/>
      <c r="GW32" s="21"/>
      <c r="GX32" s="21"/>
      <c r="GY32" s="21"/>
      <c r="GZ32" s="21"/>
      <c r="HA32" s="21"/>
      <c r="HB32" s="21"/>
      <c r="HC32" s="21"/>
      <c r="HD32" s="21"/>
      <c r="HE32" s="21"/>
      <c r="HF32" s="21"/>
      <c r="HG32" s="21"/>
      <c r="HH32" s="21"/>
      <c r="HI32" s="21"/>
      <c r="HJ32" s="21"/>
      <c r="HK32" s="21"/>
      <c r="HL32" s="21"/>
      <c r="HM32" s="21"/>
      <c r="HN32" s="21"/>
      <c r="HO32" s="21"/>
      <c r="HP32" s="21"/>
      <c r="HQ32" s="21"/>
      <c r="HR32" s="21"/>
      <c r="HS32" s="21"/>
      <c r="HT32" s="21"/>
      <c r="HU32" s="21"/>
      <c r="HV32" s="21"/>
      <c r="HW32" s="21"/>
      <c r="HX32" s="21"/>
      <c r="HY32" s="21"/>
      <c r="HZ32" s="21"/>
      <c r="IA32" s="21"/>
      <c r="IB32" s="21"/>
      <c r="IC32" s="21"/>
      <c r="ID32" s="21"/>
      <c r="IE32" s="21"/>
      <c r="IF32" s="21"/>
      <c r="IG32" s="21"/>
      <c r="IH32" s="21"/>
      <c r="II32" s="21"/>
      <c r="IJ32" s="21"/>
      <c r="IK32" s="21"/>
      <c r="IL32" s="21"/>
      <c r="IM32" s="21"/>
      <c r="IN32" s="21"/>
      <c r="IO32" s="21"/>
      <c r="IP32" s="21"/>
      <c r="IQ32" s="21"/>
      <c r="IR32" s="21"/>
      <c r="IS32" s="21"/>
      <c r="IT32" s="21"/>
      <c r="IU32" s="21"/>
      <c r="IV32" s="21"/>
      <c r="IW32" s="21"/>
      <c r="IX32" s="21"/>
      <c r="IY32" s="21"/>
      <c r="IZ32" s="21"/>
      <c r="JA32" s="21"/>
      <c r="JB32" s="21"/>
      <c r="JC32" s="21"/>
      <c r="JD32" s="74"/>
      <c r="JE32" s="26"/>
    </row>
    <row r="33" spans="1:265" x14ac:dyDescent="0.35">
      <c r="A33" s="112">
        <v>7</v>
      </c>
      <c r="B33" s="59" t="s">
        <v>50</v>
      </c>
      <c r="C33" s="55"/>
      <c r="D33" s="93" t="str">
        <f t="array" ref="D33">IF(OR(EXACT($O$8,D40:D43))=TRUE,$O$8,"f")</f>
        <v>f</v>
      </c>
      <c r="E33" s="55"/>
      <c r="F33" s="55"/>
      <c r="G33" s="55"/>
      <c r="H33" s="58"/>
      <c r="I33" s="58"/>
      <c r="J33" s="58"/>
      <c r="K33" s="58"/>
      <c r="L33" s="121"/>
      <c r="M33" s="58"/>
      <c r="N33" s="58"/>
      <c r="O33" s="104"/>
      <c r="P33" s="78"/>
      <c r="Q33" s="90">
        <f>MIN(Q34)</f>
        <v>44841</v>
      </c>
      <c r="R33" s="90">
        <f>MAX(R34)</f>
        <v>44861</v>
      </c>
      <c r="S33" s="91">
        <f t="shared" ref="S33:S35" si="27">IF(R33-Q33=0,1,R33-Q33)</f>
        <v>20</v>
      </c>
      <c r="T33" s="92">
        <f>SUMPRODUCT(S34:S34,T34:T34)/SUM(S34:S34)</f>
        <v>0.9</v>
      </c>
      <c r="U33" s="19">
        <f>NETWORKDAYS(Q33,R33)</f>
        <v>15</v>
      </c>
      <c r="V33" s="20">
        <f>ROUNDDOWN(T33*S33,0)</f>
        <v>18</v>
      </c>
      <c r="W33" s="51">
        <f>S33-V33</f>
        <v>2</v>
      </c>
      <c r="X33" s="67" t="str">
        <f>IF(Expenses[[#This Row],[%]]=1,"ja","nein")</f>
        <v>nein</v>
      </c>
      <c r="Y33" s="66"/>
      <c r="Z33" s="21"/>
      <c r="AA33" s="21"/>
      <c r="AB33" s="21"/>
      <c r="AC33" s="21"/>
      <c r="AD33" s="21"/>
      <c r="AE33" s="21"/>
      <c r="AF33" s="21"/>
      <c r="AG33" s="21"/>
      <c r="AH33" s="21"/>
      <c r="AI33" s="21"/>
      <c r="AJ33" s="21"/>
      <c r="AK33" s="21"/>
      <c r="AL33" s="21"/>
      <c r="AM33" s="21"/>
      <c r="AN33" s="21"/>
      <c r="AO33" s="21"/>
      <c r="AP33" s="21"/>
      <c r="AQ33" s="21"/>
      <c r="AR33" s="21"/>
      <c r="AS33" s="21"/>
      <c r="AT33" s="21"/>
      <c r="AU33" s="21"/>
      <c r="AV33" s="21"/>
      <c r="AW33" s="21"/>
      <c r="AX33" s="21"/>
      <c r="AY33" s="21"/>
      <c r="AZ33" s="21"/>
      <c r="BA33" s="21"/>
      <c r="BB33" s="21"/>
      <c r="BC33" s="21"/>
      <c r="BD33" s="21"/>
      <c r="BE33" s="21"/>
      <c r="BF33" s="21"/>
      <c r="BG33" s="21"/>
      <c r="BH33" s="21"/>
      <c r="BI33" s="21"/>
      <c r="BJ33" s="21"/>
      <c r="BK33" s="21"/>
      <c r="BL33" s="21"/>
      <c r="BM33" s="21"/>
      <c r="BN33" s="21"/>
      <c r="BO33" s="21"/>
      <c r="BP33" s="21"/>
      <c r="BQ33" s="21"/>
      <c r="BR33" s="21"/>
      <c r="BS33" s="21"/>
      <c r="BT33" s="21"/>
      <c r="BU33" s="21"/>
      <c r="BV33" s="21"/>
      <c r="BW33" s="21"/>
      <c r="BX33" s="21"/>
      <c r="BY33" s="21"/>
      <c r="BZ33" s="21"/>
      <c r="CA33" s="21"/>
      <c r="CB33" s="21"/>
      <c r="CC33" s="21"/>
      <c r="CD33" s="21"/>
      <c r="CE33" s="21"/>
      <c r="CF33" s="21"/>
      <c r="CG33" s="21"/>
      <c r="CH33" s="21"/>
      <c r="CI33" s="21"/>
      <c r="CJ33" s="21"/>
      <c r="CK33" s="21"/>
      <c r="CL33" s="21"/>
      <c r="CM33" s="21"/>
      <c r="CN33" s="21"/>
      <c r="CO33" s="21"/>
      <c r="CP33" s="21"/>
      <c r="CQ33" s="21"/>
      <c r="CR33" s="21"/>
      <c r="CS33" s="21"/>
      <c r="CT33" s="21"/>
      <c r="CU33" s="21"/>
      <c r="CV33" s="21"/>
      <c r="CW33" s="21"/>
      <c r="CX33" s="21"/>
      <c r="CY33" s="21"/>
      <c r="CZ33" s="21"/>
      <c r="DA33" s="21"/>
      <c r="DB33" s="21"/>
      <c r="DC33" s="21"/>
      <c r="DD33" s="21"/>
      <c r="DE33" s="21"/>
      <c r="DF33" s="21"/>
      <c r="DG33" s="21"/>
      <c r="DH33" s="21"/>
      <c r="DI33" s="21"/>
      <c r="DJ33" s="21"/>
      <c r="DK33" s="21"/>
      <c r="DL33" s="21"/>
      <c r="DM33" s="21"/>
      <c r="DN33" s="21"/>
      <c r="DO33" s="21"/>
      <c r="DP33" s="21"/>
      <c r="DQ33" s="21"/>
      <c r="DR33" s="21"/>
      <c r="DS33" s="21"/>
      <c r="DT33" s="21"/>
      <c r="DU33" s="21"/>
      <c r="DV33" s="21"/>
      <c r="DW33" s="21"/>
      <c r="DX33" s="21"/>
      <c r="DY33" s="21"/>
      <c r="DZ33" s="21"/>
      <c r="EA33" s="21"/>
      <c r="EB33" s="21"/>
      <c r="EC33" s="21"/>
      <c r="ED33" s="21"/>
      <c r="EE33" s="21"/>
      <c r="EF33" s="21"/>
      <c r="EG33" s="21"/>
      <c r="EH33" s="21"/>
      <c r="EI33" s="21"/>
      <c r="EJ33" s="21"/>
      <c r="EK33" s="21"/>
      <c r="EL33" s="21"/>
      <c r="EM33" s="21"/>
      <c r="EN33" s="21"/>
      <c r="EO33" s="21"/>
      <c r="EP33" s="21"/>
      <c r="EQ33" s="21"/>
      <c r="ER33" s="21"/>
      <c r="ES33" s="21"/>
      <c r="ET33" s="21"/>
      <c r="EU33" s="21"/>
      <c r="EV33" s="21"/>
      <c r="EW33" s="21"/>
      <c r="EX33" s="21"/>
      <c r="EY33" s="21"/>
      <c r="EZ33" s="21"/>
      <c r="FA33" s="21"/>
      <c r="FB33" s="21"/>
      <c r="FC33" s="21"/>
      <c r="FD33" s="21"/>
      <c r="FE33" s="21"/>
      <c r="FF33" s="21"/>
      <c r="FG33" s="21"/>
      <c r="FH33" s="21"/>
      <c r="FI33" s="21"/>
      <c r="FJ33" s="21"/>
      <c r="FK33" s="21"/>
      <c r="FL33" s="21"/>
      <c r="FM33" s="21"/>
      <c r="FN33" s="21"/>
      <c r="FO33" s="21"/>
      <c r="FP33" s="21"/>
      <c r="FQ33" s="21"/>
      <c r="FR33" s="21"/>
      <c r="FS33" s="21"/>
      <c r="FT33" s="21"/>
      <c r="FU33" s="21"/>
      <c r="FV33" s="21"/>
      <c r="FW33" s="21"/>
      <c r="FX33" s="21"/>
      <c r="FY33" s="21"/>
      <c r="FZ33" s="21"/>
      <c r="GA33" s="21"/>
      <c r="GB33" s="21"/>
      <c r="GC33" s="21"/>
      <c r="GD33" s="21"/>
      <c r="GE33" s="21"/>
      <c r="GF33" s="21"/>
      <c r="GG33" s="21"/>
      <c r="GH33" s="21"/>
      <c r="GI33" s="21"/>
      <c r="GJ33" s="21"/>
      <c r="GK33" s="21"/>
      <c r="GL33" s="21"/>
      <c r="GM33" s="21"/>
      <c r="GN33" s="21"/>
      <c r="GO33" s="21"/>
      <c r="GP33" s="21"/>
      <c r="GQ33" s="21"/>
      <c r="GR33" s="21"/>
      <c r="GS33" s="21"/>
      <c r="GT33" s="21"/>
      <c r="GU33" s="21"/>
      <c r="GV33" s="21"/>
      <c r="GW33" s="21"/>
      <c r="GX33" s="21"/>
      <c r="GY33" s="21"/>
      <c r="GZ33" s="21"/>
      <c r="HA33" s="21"/>
      <c r="HB33" s="21"/>
      <c r="HC33" s="21"/>
      <c r="HD33" s="21"/>
      <c r="HE33" s="21"/>
      <c r="HF33" s="21"/>
      <c r="HG33" s="21"/>
      <c r="HH33" s="21"/>
      <c r="HI33" s="21"/>
      <c r="HJ33" s="21"/>
      <c r="HK33" s="21"/>
      <c r="HL33" s="21"/>
      <c r="HM33" s="21"/>
      <c r="HN33" s="21"/>
      <c r="HO33" s="21"/>
      <c r="HP33" s="21"/>
      <c r="HQ33" s="21"/>
      <c r="HR33" s="21"/>
      <c r="HS33" s="21"/>
      <c r="HT33" s="21"/>
      <c r="HU33" s="21"/>
      <c r="HV33" s="21"/>
      <c r="HW33" s="21"/>
      <c r="HX33" s="21"/>
      <c r="HY33" s="21"/>
      <c r="HZ33" s="21"/>
      <c r="IA33" s="21"/>
      <c r="IB33" s="21"/>
      <c r="IC33" s="21"/>
      <c r="ID33" s="21"/>
      <c r="IE33" s="21"/>
      <c r="IF33" s="21"/>
      <c r="IG33" s="21"/>
      <c r="IH33" s="21"/>
      <c r="II33" s="21"/>
      <c r="IJ33" s="21"/>
      <c r="IK33" s="21"/>
      <c r="IL33" s="21"/>
      <c r="IM33" s="21"/>
      <c r="IN33" s="21"/>
      <c r="IO33" s="21"/>
      <c r="IP33" s="21"/>
      <c r="IQ33" s="21"/>
      <c r="IR33" s="21"/>
      <c r="IS33" s="21"/>
      <c r="IT33" s="21"/>
      <c r="IU33" s="21"/>
      <c r="IV33" s="21"/>
      <c r="IW33" s="21"/>
      <c r="IX33" s="21"/>
      <c r="IY33" s="21"/>
      <c r="IZ33" s="21"/>
      <c r="JA33" s="21"/>
      <c r="JB33" s="21"/>
      <c r="JC33" s="21"/>
      <c r="JD33" s="74"/>
      <c r="JE33" s="26"/>
    </row>
    <row r="34" spans="1:265" x14ac:dyDescent="0.35">
      <c r="A34" s="113" t="str">
        <f t="shared" ca="1" si="14"/>
        <v>7.1</v>
      </c>
      <c r="B34" s="56" t="s">
        <v>52</v>
      </c>
      <c r="C34" s="56" t="s">
        <v>58</v>
      </c>
      <c r="D34" s="56" t="s">
        <v>79</v>
      </c>
      <c r="E34" s="18"/>
      <c r="F34" s="57" t="s">
        <v>81</v>
      </c>
      <c r="G34" s="60"/>
      <c r="H34" s="82" t="s">
        <v>92</v>
      </c>
      <c r="I34" s="81"/>
      <c r="J34" s="81"/>
      <c r="K34" s="72" t="s">
        <v>97</v>
      </c>
      <c r="L34" s="124"/>
      <c r="M34" s="83"/>
      <c r="N34" s="83"/>
      <c r="O34" s="106"/>
      <c r="P34" s="85">
        <v>1</v>
      </c>
      <c r="Q34" s="86">
        <v>44841</v>
      </c>
      <c r="R34" s="86">
        <v>44861</v>
      </c>
      <c r="S34" s="88">
        <f t="shared" si="27"/>
        <v>20</v>
      </c>
      <c r="T34" s="89">
        <v>0.9</v>
      </c>
      <c r="U34" s="19">
        <f>NETWORKDAYS(Q34,R34)</f>
        <v>15</v>
      </c>
      <c r="V34" s="20">
        <f>ROUNDDOWN(T34*S34,0)</f>
        <v>18</v>
      </c>
      <c r="W34" s="51">
        <f>S34-V34</f>
        <v>2</v>
      </c>
      <c r="X34" s="67" t="str">
        <f>IF(Expenses[[#This Row],[%]]=1,"ja","nein")</f>
        <v>nein</v>
      </c>
      <c r="Y34" s="66"/>
      <c r="Z34" s="21"/>
      <c r="AA34" s="21"/>
      <c r="AB34" s="21"/>
      <c r="AC34" s="21"/>
      <c r="AD34" s="21"/>
      <c r="AE34" s="21"/>
      <c r="AF34" s="21"/>
      <c r="AG34" s="21"/>
      <c r="AH34" s="21"/>
      <c r="AI34" s="21"/>
      <c r="AJ34" s="21"/>
      <c r="AK34" s="21"/>
      <c r="AL34" s="21"/>
      <c r="AM34" s="21"/>
      <c r="AN34" s="21"/>
      <c r="AO34" s="21"/>
      <c r="AP34" s="21"/>
      <c r="AQ34" s="21"/>
      <c r="AR34" s="21"/>
      <c r="AS34" s="21"/>
      <c r="AT34" s="21"/>
      <c r="AU34" s="21"/>
      <c r="AV34" s="21"/>
      <c r="AW34" s="21"/>
      <c r="AX34" s="21"/>
      <c r="AY34" s="21"/>
      <c r="AZ34" s="21"/>
      <c r="BA34" s="21"/>
      <c r="BB34" s="21"/>
      <c r="BC34" s="21"/>
      <c r="BD34" s="21"/>
      <c r="BE34" s="21"/>
      <c r="BF34" s="21"/>
      <c r="BG34" s="21"/>
      <c r="BH34" s="21"/>
      <c r="BI34" s="21"/>
      <c r="BJ34" s="21"/>
      <c r="BK34" s="21"/>
      <c r="BL34" s="21"/>
      <c r="BM34" s="21"/>
      <c r="BN34" s="21"/>
      <c r="BO34" s="21"/>
      <c r="BP34" s="21"/>
      <c r="BQ34" s="21"/>
      <c r="BR34" s="21"/>
      <c r="BS34" s="21"/>
      <c r="BT34" s="21"/>
      <c r="BU34" s="21"/>
      <c r="BV34" s="21"/>
      <c r="BW34" s="21"/>
      <c r="BX34" s="21"/>
      <c r="BY34" s="21"/>
      <c r="BZ34" s="21"/>
      <c r="CA34" s="21"/>
      <c r="CB34" s="21"/>
      <c r="CC34" s="21"/>
      <c r="CD34" s="21"/>
      <c r="CE34" s="21"/>
      <c r="CF34" s="21"/>
      <c r="CG34" s="21"/>
      <c r="CH34" s="21"/>
      <c r="CI34" s="21"/>
      <c r="CJ34" s="21"/>
      <c r="CK34" s="21"/>
      <c r="CL34" s="21"/>
      <c r="CM34" s="21"/>
      <c r="CN34" s="21"/>
      <c r="CO34" s="21"/>
      <c r="CP34" s="21"/>
      <c r="CQ34" s="21"/>
      <c r="CR34" s="21"/>
      <c r="CS34" s="21"/>
      <c r="CT34" s="21"/>
      <c r="CU34" s="21"/>
      <c r="CV34" s="21"/>
      <c r="CW34" s="21"/>
      <c r="CX34" s="21"/>
      <c r="CY34" s="21"/>
      <c r="CZ34" s="21"/>
      <c r="DA34" s="21"/>
      <c r="DB34" s="21"/>
      <c r="DC34" s="21"/>
      <c r="DD34" s="21"/>
      <c r="DE34" s="21"/>
      <c r="DF34" s="21"/>
      <c r="DG34" s="21"/>
      <c r="DH34" s="21"/>
      <c r="DI34" s="21"/>
      <c r="DJ34" s="21"/>
      <c r="DK34" s="21"/>
      <c r="DL34" s="21"/>
      <c r="DM34" s="21"/>
      <c r="DN34" s="21"/>
      <c r="DO34" s="21"/>
      <c r="DP34" s="21"/>
      <c r="DQ34" s="21"/>
      <c r="DR34" s="21"/>
      <c r="DS34" s="21"/>
      <c r="DT34" s="21"/>
      <c r="DU34" s="21"/>
      <c r="DV34" s="21"/>
      <c r="DW34" s="21"/>
      <c r="DX34" s="21"/>
      <c r="DY34" s="21"/>
      <c r="DZ34" s="21"/>
      <c r="EA34" s="21"/>
      <c r="EB34" s="21"/>
      <c r="EC34" s="21"/>
      <c r="ED34" s="21"/>
      <c r="EE34" s="21"/>
      <c r="EF34" s="21"/>
      <c r="EG34" s="21"/>
      <c r="EH34" s="21"/>
      <c r="EI34" s="21"/>
      <c r="EJ34" s="21"/>
      <c r="EK34" s="21"/>
      <c r="EL34" s="21"/>
      <c r="EM34" s="21"/>
      <c r="EN34" s="21"/>
      <c r="EO34" s="21"/>
      <c r="EP34" s="21"/>
      <c r="EQ34" s="21"/>
      <c r="ER34" s="21"/>
      <c r="ES34" s="21"/>
      <c r="ET34" s="21"/>
      <c r="EU34" s="21"/>
      <c r="EV34" s="21"/>
      <c r="EW34" s="21"/>
      <c r="EX34" s="21"/>
      <c r="EY34" s="21"/>
      <c r="EZ34" s="21"/>
      <c r="FA34" s="21"/>
      <c r="FB34" s="21"/>
      <c r="FC34" s="21"/>
      <c r="FD34" s="21"/>
      <c r="FE34" s="21"/>
      <c r="FF34" s="21"/>
      <c r="FG34" s="21"/>
      <c r="FH34" s="21"/>
      <c r="FI34" s="21"/>
      <c r="FJ34" s="21"/>
      <c r="FK34" s="21"/>
      <c r="FL34" s="21"/>
      <c r="FM34" s="21"/>
      <c r="FN34" s="21"/>
      <c r="FO34" s="21"/>
      <c r="FP34" s="21"/>
      <c r="FQ34" s="21"/>
      <c r="FR34" s="21"/>
      <c r="FS34" s="21"/>
      <c r="FT34" s="21"/>
      <c r="FU34" s="21"/>
      <c r="FV34" s="21"/>
      <c r="FW34" s="21"/>
      <c r="FX34" s="21"/>
      <c r="FY34" s="21"/>
      <c r="FZ34" s="21"/>
      <c r="GA34" s="21"/>
      <c r="GB34" s="21"/>
      <c r="GC34" s="21"/>
      <c r="GD34" s="21"/>
      <c r="GE34" s="21"/>
      <c r="GF34" s="21"/>
      <c r="GG34" s="21"/>
      <c r="GH34" s="21"/>
      <c r="GI34" s="21"/>
      <c r="GJ34" s="21"/>
      <c r="GK34" s="21"/>
      <c r="GL34" s="21"/>
      <c r="GM34" s="21"/>
      <c r="GN34" s="21"/>
      <c r="GO34" s="21"/>
      <c r="GP34" s="21"/>
      <c r="GQ34" s="21"/>
      <c r="GR34" s="21"/>
      <c r="GS34" s="21"/>
      <c r="GT34" s="21"/>
      <c r="GU34" s="21"/>
      <c r="GV34" s="21"/>
      <c r="GW34" s="21"/>
      <c r="GX34" s="21"/>
      <c r="GY34" s="21"/>
      <c r="GZ34" s="21"/>
      <c r="HA34" s="21"/>
      <c r="HB34" s="21"/>
      <c r="HC34" s="21"/>
      <c r="HD34" s="21"/>
      <c r="HE34" s="21"/>
      <c r="HF34" s="21"/>
      <c r="HG34" s="21"/>
      <c r="HH34" s="21"/>
      <c r="HI34" s="21"/>
      <c r="HJ34" s="21"/>
      <c r="HK34" s="21"/>
      <c r="HL34" s="21"/>
      <c r="HM34" s="21"/>
      <c r="HN34" s="21"/>
      <c r="HO34" s="21"/>
      <c r="HP34" s="21"/>
      <c r="HQ34" s="21"/>
      <c r="HR34" s="21"/>
      <c r="HS34" s="21"/>
      <c r="HT34" s="21"/>
      <c r="HU34" s="21"/>
      <c r="HV34" s="21"/>
      <c r="HW34" s="21"/>
      <c r="HX34" s="21"/>
      <c r="HY34" s="21"/>
      <c r="HZ34" s="21"/>
      <c r="IA34" s="21"/>
      <c r="IB34" s="21"/>
      <c r="IC34" s="21"/>
      <c r="ID34" s="21"/>
      <c r="IE34" s="21"/>
      <c r="IF34" s="21"/>
      <c r="IG34" s="21"/>
      <c r="IH34" s="21"/>
      <c r="II34" s="21"/>
      <c r="IJ34" s="21"/>
      <c r="IK34" s="21"/>
      <c r="IL34" s="21"/>
      <c r="IM34" s="21"/>
      <c r="IN34" s="21"/>
      <c r="IO34" s="21"/>
      <c r="IP34" s="21"/>
      <c r="IQ34" s="21"/>
      <c r="IR34" s="21"/>
      <c r="IS34" s="21"/>
      <c r="IT34" s="21"/>
      <c r="IU34" s="21"/>
      <c r="IV34" s="21"/>
      <c r="IW34" s="21"/>
      <c r="IX34" s="21"/>
      <c r="IY34" s="21"/>
      <c r="IZ34" s="21"/>
      <c r="JA34" s="21"/>
      <c r="JB34" s="21"/>
      <c r="JC34" s="21"/>
      <c r="JD34" s="74"/>
      <c r="JE34" s="26"/>
    </row>
    <row r="35" spans="1:265" x14ac:dyDescent="0.35">
      <c r="A35" s="112">
        <v>8</v>
      </c>
      <c r="B35" s="59" t="s">
        <v>51</v>
      </c>
      <c r="C35" s="55"/>
      <c r="D35" s="93" t="str">
        <f t="array" ref="D35">IF(OR(EXACT($O$8,D42:D45))=TRUE,$O$8,"f")</f>
        <v>f</v>
      </c>
      <c r="E35" s="55"/>
      <c r="F35" s="55"/>
      <c r="G35" s="55"/>
      <c r="H35" s="58"/>
      <c r="I35" s="58"/>
      <c r="J35" s="58"/>
      <c r="K35" s="58"/>
      <c r="L35" s="121"/>
      <c r="M35" s="58"/>
      <c r="N35" s="58"/>
      <c r="O35" s="104"/>
      <c r="P35" s="78"/>
      <c r="Q35" s="90">
        <f>MIN(Q36:Q36)</f>
        <v>44841</v>
      </c>
      <c r="R35" s="90">
        <f>MAX(R36:R36)</f>
        <v>45016</v>
      </c>
      <c r="S35" s="91">
        <f t="shared" si="27"/>
        <v>175</v>
      </c>
      <c r="T35" s="92">
        <f>SUMPRODUCT(S36:S36,T36:T36)/SUM(S36:S36)</f>
        <v>0</v>
      </c>
      <c r="U35" s="19">
        <f t="shared" ref="U35" si="28">NETWORKDAYS(Q35,R35)</f>
        <v>126</v>
      </c>
      <c r="V35" s="20">
        <f t="shared" ref="V35" si="29">ROUNDDOWN(T35*S35,0)</f>
        <v>0</v>
      </c>
      <c r="W35" s="51">
        <f t="shared" ref="W35" si="30">S35-V35</f>
        <v>175</v>
      </c>
      <c r="X35" s="67" t="str">
        <f>IF(Expenses[[#This Row],[%]]=1,"ja","nein")</f>
        <v>nein</v>
      </c>
      <c r="Y35" s="66"/>
      <c r="Z35" s="21"/>
      <c r="AA35" s="21"/>
      <c r="AB35" s="21"/>
      <c r="AC35" s="21"/>
      <c r="AD35" s="21"/>
      <c r="AE35" s="21"/>
      <c r="AF35" s="21"/>
      <c r="AG35" s="21"/>
      <c r="AH35" s="21"/>
      <c r="AI35" s="21"/>
      <c r="AJ35" s="21"/>
      <c r="AK35" s="21"/>
      <c r="AL35" s="21"/>
      <c r="AM35" s="21"/>
      <c r="AN35" s="21"/>
      <c r="AO35" s="21"/>
      <c r="AP35" s="21"/>
      <c r="AQ35" s="21"/>
      <c r="AR35" s="21"/>
      <c r="AS35" s="21"/>
      <c r="AT35" s="21"/>
      <c r="AU35" s="21"/>
      <c r="AV35" s="21"/>
      <c r="AW35" s="21"/>
      <c r="AX35" s="21"/>
      <c r="AY35" s="21"/>
      <c r="AZ35" s="21"/>
      <c r="BA35" s="21"/>
      <c r="BB35" s="21"/>
      <c r="BC35" s="21"/>
      <c r="BD35" s="21"/>
      <c r="BE35" s="21"/>
      <c r="BF35" s="21"/>
      <c r="BG35" s="21"/>
      <c r="BH35" s="21"/>
      <c r="BI35" s="21"/>
      <c r="BJ35" s="21"/>
      <c r="BK35" s="21"/>
      <c r="BL35" s="21"/>
      <c r="BM35" s="21"/>
      <c r="BN35" s="21"/>
      <c r="BO35" s="21"/>
      <c r="BP35" s="21"/>
      <c r="BQ35" s="21"/>
      <c r="BR35" s="21"/>
      <c r="BS35" s="21"/>
      <c r="BT35" s="21"/>
      <c r="BU35" s="21"/>
      <c r="BV35" s="21"/>
      <c r="BW35" s="21"/>
      <c r="BX35" s="21"/>
      <c r="BY35" s="21"/>
      <c r="BZ35" s="21"/>
      <c r="CA35" s="21"/>
      <c r="CB35" s="21"/>
      <c r="CC35" s="21"/>
      <c r="CD35" s="21"/>
      <c r="CE35" s="21"/>
      <c r="CF35" s="21"/>
      <c r="CG35" s="21"/>
      <c r="CH35" s="21"/>
      <c r="CI35" s="21"/>
      <c r="CJ35" s="21"/>
      <c r="CK35" s="21"/>
      <c r="CL35" s="21"/>
      <c r="CM35" s="21"/>
      <c r="CN35" s="21"/>
      <c r="CO35" s="21"/>
      <c r="CP35" s="21"/>
      <c r="CQ35" s="21"/>
      <c r="CR35" s="21"/>
      <c r="CS35" s="21"/>
      <c r="CT35" s="21"/>
      <c r="CU35" s="21"/>
      <c r="CV35" s="21"/>
      <c r="CW35" s="21"/>
      <c r="CX35" s="21"/>
      <c r="CY35" s="21"/>
      <c r="CZ35" s="21"/>
      <c r="DA35" s="21"/>
      <c r="DB35" s="21"/>
      <c r="DC35" s="21"/>
      <c r="DD35" s="21"/>
      <c r="DE35" s="21"/>
      <c r="DF35" s="21"/>
      <c r="DG35" s="21"/>
      <c r="DH35" s="21"/>
      <c r="DI35" s="21"/>
      <c r="DJ35" s="21"/>
      <c r="DK35" s="21"/>
      <c r="DL35" s="21"/>
      <c r="DM35" s="21"/>
      <c r="DN35" s="21"/>
      <c r="DO35" s="21"/>
      <c r="DP35" s="21"/>
      <c r="DQ35" s="21"/>
      <c r="DR35" s="21"/>
      <c r="DS35" s="21"/>
      <c r="DT35" s="21"/>
      <c r="DU35" s="21"/>
      <c r="DV35" s="21"/>
      <c r="DW35" s="21"/>
      <c r="DX35" s="21"/>
      <c r="DY35" s="21"/>
      <c r="DZ35" s="21"/>
      <c r="EA35" s="21"/>
      <c r="EB35" s="21"/>
      <c r="EC35" s="21"/>
      <c r="ED35" s="21"/>
      <c r="EE35" s="21"/>
      <c r="EF35" s="21"/>
      <c r="EG35" s="21"/>
      <c r="EH35" s="21"/>
      <c r="EI35" s="21"/>
      <c r="EJ35" s="21"/>
      <c r="EK35" s="21"/>
      <c r="EL35" s="21"/>
      <c r="EM35" s="21"/>
      <c r="EN35" s="21"/>
      <c r="EO35" s="21"/>
      <c r="EP35" s="21"/>
      <c r="EQ35" s="21"/>
      <c r="ER35" s="21"/>
      <c r="ES35" s="21"/>
      <c r="ET35" s="21"/>
      <c r="EU35" s="21"/>
      <c r="EV35" s="21"/>
      <c r="EW35" s="21"/>
      <c r="EX35" s="21"/>
      <c r="EY35" s="21"/>
      <c r="EZ35" s="21"/>
      <c r="FA35" s="21"/>
      <c r="FB35" s="21"/>
      <c r="FC35" s="21"/>
      <c r="FD35" s="21"/>
      <c r="FE35" s="21"/>
      <c r="FF35" s="21"/>
      <c r="FG35" s="21"/>
      <c r="FH35" s="21"/>
      <c r="FI35" s="21"/>
      <c r="FJ35" s="21"/>
      <c r="FK35" s="21"/>
      <c r="FL35" s="21"/>
      <c r="FM35" s="21"/>
      <c r="FN35" s="21"/>
      <c r="FO35" s="21"/>
      <c r="FP35" s="21"/>
      <c r="FQ35" s="21"/>
      <c r="FR35" s="21"/>
      <c r="FS35" s="21"/>
      <c r="FT35" s="21"/>
      <c r="FU35" s="21"/>
      <c r="FV35" s="21"/>
      <c r="FW35" s="21"/>
      <c r="FX35" s="21"/>
      <c r="FY35" s="21"/>
      <c r="FZ35" s="21"/>
      <c r="GA35" s="21"/>
      <c r="GB35" s="21"/>
      <c r="GC35" s="21"/>
      <c r="GD35" s="21"/>
      <c r="GE35" s="21"/>
      <c r="GF35" s="21"/>
      <c r="GG35" s="21"/>
      <c r="GH35" s="21"/>
      <c r="GI35" s="21"/>
      <c r="GJ35" s="21"/>
      <c r="GK35" s="21"/>
      <c r="GL35" s="21"/>
      <c r="GM35" s="21"/>
      <c r="GN35" s="21"/>
      <c r="GO35" s="21"/>
      <c r="GP35" s="21"/>
      <c r="GQ35" s="21"/>
      <c r="GR35" s="21"/>
      <c r="GS35" s="21"/>
      <c r="GT35" s="21"/>
      <c r="GU35" s="21"/>
      <c r="GV35" s="21"/>
      <c r="GW35" s="21"/>
      <c r="GX35" s="21"/>
      <c r="GY35" s="21"/>
      <c r="GZ35" s="21"/>
      <c r="HA35" s="21"/>
      <c r="HB35" s="21"/>
      <c r="HC35" s="21"/>
      <c r="HD35" s="21"/>
      <c r="HE35" s="21"/>
      <c r="HF35" s="21"/>
      <c r="HG35" s="21"/>
      <c r="HH35" s="21"/>
      <c r="HI35" s="21"/>
      <c r="HJ35" s="21"/>
      <c r="HK35" s="21"/>
      <c r="HL35" s="21"/>
      <c r="HM35" s="21"/>
      <c r="HN35" s="21"/>
      <c r="HO35" s="21"/>
      <c r="HP35" s="21"/>
      <c r="HQ35" s="21"/>
      <c r="HR35" s="21"/>
      <c r="HS35" s="21"/>
      <c r="HT35" s="21"/>
      <c r="HU35" s="21"/>
      <c r="HV35" s="21"/>
      <c r="HW35" s="21"/>
      <c r="HX35" s="21"/>
      <c r="HY35" s="21"/>
      <c r="HZ35" s="21"/>
      <c r="IA35" s="21"/>
      <c r="IB35" s="21"/>
      <c r="IC35" s="21"/>
      <c r="ID35" s="21"/>
      <c r="IE35" s="21"/>
      <c r="IF35" s="21"/>
      <c r="IG35" s="21"/>
      <c r="IH35" s="21"/>
      <c r="II35" s="21"/>
      <c r="IJ35" s="21"/>
      <c r="IK35" s="21"/>
      <c r="IL35" s="21"/>
      <c r="IM35" s="21"/>
      <c r="IN35" s="21"/>
      <c r="IO35" s="21"/>
      <c r="IP35" s="21"/>
      <c r="IQ35" s="21"/>
      <c r="IR35" s="21"/>
      <c r="IS35" s="21"/>
      <c r="IT35" s="21"/>
      <c r="IU35" s="21"/>
      <c r="IV35" s="21"/>
      <c r="IW35" s="21"/>
      <c r="IX35" s="21"/>
      <c r="IY35" s="21"/>
      <c r="IZ35" s="21"/>
      <c r="JA35" s="21"/>
      <c r="JB35" s="21"/>
      <c r="JC35" s="21"/>
      <c r="JD35" s="74"/>
      <c r="JE35" s="26"/>
    </row>
    <row r="36" spans="1:265" x14ac:dyDescent="0.35">
      <c r="A36" s="113" t="str">
        <f t="shared" ca="1" si="14"/>
        <v>8.1</v>
      </c>
      <c r="B36" s="56" t="s">
        <v>52</v>
      </c>
      <c r="C36" s="56" t="s">
        <v>58</v>
      </c>
      <c r="D36" s="56" t="s">
        <v>80</v>
      </c>
      <c r="E36" s="18"/>
      <c r="F36" s="57" t="s">
        <v>81</v>
      </c>
      <c r="G36" s="60"/>
      <c r="H36" s="82" t="s">
        <v>89</v>
      </c>
      <c r="I36" s="81"/>
      <c r="J36" s="81"/>
      <c r="K36" s="72" t="s">
        <v>100</v>
      </c>
      <c r="L36" s="124"/>
      <c r="M36" s="83"/>
      <c r="N36" s="83"/>
      <c r="O36" s="106"/>
      <c r="P36" s="85">
        <v>2</v>
      </c>
      <c r="Q36" s="86">
        <v>44841</v>
      </c>
      <c r="R36" s="86">
        <v>45016</v>
      </c>
      <c r="S36" s="88">
        <f t="shared" ref="S36" si="31">IF(R36-Q36=0,1,R36-Q36)</f>
        <v>175</v>
      </c>
      <c r="T36" s="89">
        <v>0</v>
      </c>
      <c r="U36" s="19">
        <f t="shared" si="24"/>
        <v>126</v>
      </c>
      <c r="V36" s="20">
        <f t="shared" si="25"/>
        <v>0</v>
      </c>
      <c r="W36" s="51">
        <f t="shared" si="26"/>
        <v>175</v>
      </c>
      <c r="X36" s="67" t="str">
        <f>IF(Expenses[[#This Row],[%]]=1,"ja","nein")</f>
        <v>nein</v>
      </c>
      <c r="Y36" s="66"/>
      <c r="Z36" s="21"/>
      <c r="AA36" s="21"/>
      <c r="AB36" s="21"/>
      <c r="AC36" s="21"/>
      <c r="AD36" s="21"/>
      <c r="AE36" s="21"/>
      <c r="AF36" s="21"/>
      <c r="AG36" s="21"/>
      <c r="AH36" s="21"/>
      <c r="AI36" s="21"/>
      <c r="AJ36" s="21"/>
      <c r="AK36" s="21"/>
      <c r="AL36" s="21"/>
      <c r="AM36" s="21"/>
      <c r="AN36" s="21"/>
      <c r="AO36" s="21"/>
      <c r="AP36" s="21"/>
      <c r="AQ36" s="21"/>
      <c r="AR36" s="21"/>
      <c r="AS36" s="21"/>
      <c r="AT36" s="21"/>
      <c r="AU36" s="21"/>
      <c r="AV36" s="21"/>
      <c r="AW36" s="21"/>
      <c r="AX36" s="21"/>
      <c r="AY36" s="21"/>
      <c r="AZ36" s="21"/>
      <c r="BA36" s="21"/>
      <c r="BB36" s="21"/>
      <c r="BC36" s="21"/>
      <c r="BD36" s="21"/>
      <c r="BE36" s="21"/>
      <c r="BF36" s="21"/>
      <c r="BG36" s="21"/>
      <c r="BH36" s="21"/>
      <c r="BI36" s="21"/>
      <c r="BJ36" s="21"/>
      <c r="BK36" s="21"/>
      <c r="BL36" s="21"/>
      <c r="BM36" s="21"/>
      <c r="BN36" s="21"/>
      <c r="BO36" s="21"/>
      <c r="BP36" s="21"/>
      <c r="BQ36" s="21"/>
      <c r="BR36" s="21"/>
      <c r="BS36" s="21"/>
      <c r="BT36" s="21"/>
      <c r="BU36" s="21"/>
      <c r="BV36" s="21"/>
      <c r="BW36" s="21"/>
      <c r="BX36" s="21"/>
      <c r="BY36" s="21"/>
      <c r="BZ36" s="21"/>
      <c r="CA36" s="21"/>
      <c r="CB36" s="21"/>
      <c r="CC36" s="21"/>
      <c r="CD36" s="21"/>
      <c r="CE36" s="21"/>
      <c r="CF36" s="21"/>
      <c r="CG36" s="21"/>
      <c r="CH36" s="21"/>
      <c r="CI36" s="21"/>
      <c r="CJ36" s="21"/>
      <c r="CK36" s="21"/>
      <c r="CL36" s="21"/>
      <c r="CM36" s="21"/>
      <c r="CN36" s="21"/>
      <c r="CO36" s="21"/>
      <c r="CP36" s="21"/>
      <c r="CQ36" s="21"/>
      <c r="CR36" s="21"/>
      <c r="CS36" s="21"/>
      <c r="CT36" s="21"/>
      <c r="CU36" s="21"/>
      <c r="CV36" s="21"/>
      <c r="CW36" s="21"/>
      <c r="CX36" s="21"/>
      <c r="CY36" s="21"/>
      <c r="CZ36" s="21"/>
      <c r="DA36" s="21"/>
      <c r="DB36" s="21"/>
      <c r="DC36" s="21"/>
      <c r="DD36" s="21"/>
      <c r="DE36" s="21"/>
      <c r="DF36" s="21"/>
      <c r="DG36" s="21"/>
      <c r="DH36" s="21"/>
      <c r="DI36" s="21"/>
      <c r="DJ36" s="21"/>
      <c r="DK36" s="21"/>
      <c r="DL36" s="21"/>
      <c r="DM36" s="21"/>
      <c r="DN36" s="21"/>
      <c r="DO36" s="21"/>
      <c r="DP36" s="21"/>
      <c r="DQ36" s="21"/>
      <c r="DR36" s="21"/>
      <c r="DS36" s="21"/>
      <c r="DT36" s="21"/>
      <c r="DU36" s="21"/>
      <c r="DV36" s="21"/>
      <c r="DW36" s="21"/>
      <c r="DX36" s="21"/>
      <c r="DY36" s="21"/>
      <c r="DZ36" s="21"/>
      <c r="EA36" s="21"/>
      <c r="EB36" s="21"/>
      <c r="EC36" s="21"/>
      <c r="ED36" s="21"/>
      <c r="EE36" s="21"/>
      <c r="EF36" s="21"/>
      <c r="EG36" s="21"/>
      <c r="EH36" s="21"/>
      <c r="EI36" s="21"/>
      <c r="EJ36" s="21"/>
      <c r="EK36" s="21"/>
      <c r="EL36" s="21"/>
      <c r="EM36" s="21"/>
      <c r="EN36" s="21"/>
      <c r="EO36" s="21"/>
      <c r="EP36" s="21"/>
      <c r="EQ36" s="21"/>
      <c r="ER36" s="21"/>
      <c r="ES36" s="21"/>
      <c r="ET36" s="21"/>
      <c r="EU36" s="21"/>
      <c r="EV36" s="21"/>
      <c r="EW36" s="21"/>
      <c r="EX36" s="21"/>
      <c r="EY36" s="21"/>
      <c r="EZ36" s="21"/>
      <c r="FA36" s="21"/>
      <c r="FB36" s="21"/>
      <c r="FC36" s="21"/>
      <c r="FD36" s="21"/>
      <c r="FE36" s="21"/>
      <c r="FF36" s="21"/>
      <c r="FG36" s="21"/>
      <c r="FH36" s="21"/>
      <c r="FI36" s="21"/>
      <c r="FJ36" s="21"/>
      <c r="FK36" s="21"/>
      <c r="FL36" s="21"/>
      <c r="FM36" s="21"/>
      <c r="FN36" s="21"/>
      <c r="FO36" s="21"/>
      <c r="FP36" s="21"/>
      <c r="FQ36" s="21"/>
      <c r="FR36" s="21"/>
      <c r="FS36" s="21"/>
      <c r="FT36" s="21"/>
      <c r="FU36" s="21"/>
      <c r="FV36" s="21"/>
      <c r="FW36" s="21"/>
      <c r="FX36" s="21"/>
      <c r="FY36" s="21"/>
      <c r="FZ36" s="21"/>
      <c r="GA36" s="21"/>
      <c r="GB36" s="21"/>
      <c r="GC36" s="21"/>
      <c r="GD36" s="21"/>
      <c r="GE36" s="21"/>
      <c r="GF36" s="21"/>
      <c r="GG36" s="21"/>
      <c r="GH36" s="21"/>
      <c r="GI36" s="21"/>
      <c r="GJ36" s="21"/>
      <c r="GK36" s="21"/>
      <c r="GL36" s="21"/>
      <c r="GM36" s="21"/>
      <c r="GN36" s="21"/>
      <c r="GO36" s="21"/>
      <c r="GP36" s="21"/>
      <c r="GQ36" s="21"/>
      <c r="GR36" s="21"/>
      <c r="GS36" s="21"/>
      <c r="GT36" s="21"/>
      <c r="GU36" s="21"/>
      <c r="GV36" s="21"/>
      <c r="GW36" s="21"/>
      <c r="GX36" s="21"/>
      <c r="GY36" s="21"/>
      <c r="GZ36" s="21"/>
      <c r="HA36" s="21"/>
      <c r="HB36" s="21"/>
      <c r="HC36" s="21"/>
      <c r="HD36" s="21"/>
      <c r="HE36" s="21"/>
      <c r="HF36" s="21"/>
      <c r="HG36" s="21"/>
      <c r="HH36" s="21"/>
      <c r="HI36" s="21"/>
      <c r="HJ36" s="21"/>
      <c r="HK36" s="21"/>
      <c r="HL36" s="21"/>
      <c r="HM36" s="21"/>
      <c r="HN36" s="21"/>
      <c r="HO36" s="21"/>
      <c r="HP36" s="21"/>
      <c r="HQ36" s="21"/>
      <c r="HR36" s="21"/>
      <c r="HS36" s="21"/>
      <c r="HT36" s="21"/>
      <c r="HU36" s="21"/>
      <c r="HV36" s="21"/>
      <c r="HW36" s="21"/>
      <c r="HX36" s="21"/>
      <c r="HY36" s="21"/>
      <c r="HZ36" s="21"/>
      <c r="IA36" s="21"/>
      <c r="IB36" s="21"/>
      <c r="IC36" s="21"/>
      <c r="ID36" s="21"/>
      <c r="IE36" s="21"/>
      <c r="IF36" s="21"/>
      <c r="IG36" s="21"/>
      <c r="IH36" s="21"/>
      <c r="II36" s="21"/>
      <c r="IJ36" s="21"/>
      <c r="IK36" s="21"/>
      <c r="IL36" s="21"/>
      <c r="IM36" s="21"/>
      <c r="IN36" s="21"/>
      <c r="IO36" s="21"/>
      <c r="IP36" s="21"/>
      <c r="IQ36" s="21"/>
      <c r="IR36" s="21"/>
      <c r="IS36" s="21"/>
      <c r="IT36" s="21"/>
      <c r="IU36" s="21"/>
      <c r="IV36" s="21"/>
      <c r="IW36" s="21"/>
      <c r="IX36" s="21"/>
      <c r="IY36" s="21"/>
      <c r="IZ36" s="21"/>
      <c r="JA36" s="21"/>
      <c r="JB36" s="21"/>
      <c r="JC36" s="21"/>
      <c r="JD36" s="74"/>
      <c r="JE36" s="26"/>
    </row>
    <row r="37" spans="1:265" x14ac:dyDescent="0.35">
      <c r="P37" s="79"/>
      <c r="Y37" s="68"/>
    </row>
    <row r="38" spans="1:265" x14ac:dyDescent="0.35">
      <c r="P38" s="79"/>
      <c r="Y38" s="68"/>
    </row>
    <row r="39" spans="1:265" x14ac:dyDescent="0.35">
      <c r="P39" s="79"/>
      <c r="Y39" s="68"/>
    </row>
    <row r="40" spans="1:265" x14ac:dyDescent="0.35">
      <c r="P40" s="79"/>
      <c r="Y40" s="68"/>
    </row>
    <row r="41" spans="1:265" x14ac:dyDescent="0.35">
      <c r="P41" s="79"/>
      <c r="Y41" s="68"/>
    </row>
    <row r="42" spans="1:265" x14ac:dyDescent="0.35">
      <c r="P42" s="79"/>
      <c r="Y42" s="68"/>
    </row>
    <row r="43" spans="1:265" x14ac:dyDescent="0.35">
      <c r="P43" s="79"/>
      <c r="Y43" s="68"/>
    </row>
    <row r="44" spans="1:265" x14ac:dyDescent="0.35">
      <c r="P44" s="79"/>
      <c r="Y44" s="68"/>
    </row>
    <row r="45" spans="1:265" x14ac:dyDescent="0.35">
      <c r="P45" s="79"/>
      <c r="Y45" s="68"/>
    </row>
    <row r="46" spans="1:265" x14ac:dyDescent="0.35">
      <c r="P46" s="79"/>
      <c r="Y46" s="68"/>
    </row>
    <row r="47" spans="1:265" x14ac:dyDescent="0.35">
      <c r="P47" s="79"/>
      <c r="Y47" s="68"/>
    </row>
    <row r="48" spans="1:265" x14ac:dyDescent="0.35">
      <c r="P48" s="79"/>
      <c r="Y48" s="68"/>
    </row>
    <row r="49" spans="16:25" x14ac:dyDescent="0.35">
      <c r="P49" s="79"/>
      <c r="Y49" s="68"/>
    </row>
    <row r="50" spans="16:25" x14ac:dyDescent="0.35">
      <c r="P50" s="79"/>
      <c r="Y50" s="68"/>
    </row>
    <row r="51" spans="16:25" x14ac:dyDescent="0.35">
      <c r="P51" s="79"/>
      <c r="Y51" s="68"/>
    </row>
    <row r="52" spans="16:25" x14ac:dyDescent="0.35">
      <c r="P52" s="79"/>
      <c r="Y52" s="68"/>
    </row>
    <row r="53" spans="16:25" x14ac:dyDescent="0.35">
      <c r="P53" s="79"/>
      <c r="Y53" s="68"/>
    </row>
    <row r="54" spans="16:25" x14ac:dyDescent="0.35">
      <c r="P54" s="79"/>
      <c r="Y54" s="68"/>
    </row>
    <row r="55" spans="16:25" x14ac:dyDescent="0.35">
      <c r="P55" s="79"/>
      <c r="Y55" s="68"/>
    </row>
    <row r="56" spans="16:25" x14ac:dyDescent="0.35">
      <c r="P56" s="79"/>
      <c r="Y56" s="68"/>
    </row>
    <row r="57" spans="16:25" x14ac:dyDescent="0.35">
      <c r="P57" s="79"/>
      <c r="Y57" s="68"/>
    </row>
    <row r="58" spans="16:25" x14ac:dyDescent="0.35">
      <c r="P58" s="79"/>
      <c r="Y58" s="68"/>
    </row>
    <row r="59" spans="16:25" x14ac:dyDescent="0.35">
      <c r="P59" s="79"/>
      <c r="Y59" s="68"/>
    </row>
    <row r="60" spans="16:25" x14ac:dyDescent="0.35">
      <c r="P60" s="79"/>
      <c r="Y60" s="68"/>
    </row>
    <row r="61" spans="16:25" x14ac:dyDescent="0.35">
      <c r="P61" s="79"/>
      <c r="Y61" s="68"/>
    </row>
    <row r="62" spans="16:25" x14ac:dyDescent="0.35">
      <c r="P62" s="79"/>
      <c r="Y62" s="68"/>
    </row>
    <row r="63" spans="16:25" x14ac:dyDescent="0.35">
      <c r="P63" s="79"/>
      <c r="Y63" s="68"/>
    </row>
    <row r="64" spans="16:25" x14ac:dyDescent="0.35">
      <c r="P64" s="79"/>
      <c r="Y64" s="68"/>
    </row>
    <row r="65" spans="16:25" x14ac:dyDescent="0.35">
      <c r="P65" s="79"/>
      <c r="Y65" s="68"/>
    </row>
    <row r="66" spans="16:25" x14ac:dyDescent="0.35">
      <c r="P66" s="79"/>
      <c r="Y66" s="68"/>
    </row>
    <row r="67" spans="16:25" x14ac:dyDescent="0.35">
      <c r="P67" s="79"/>
      <c r="Y67" s="68"/>
    </row>
    <row r="68" spans="16:25" x14ac:dyDescent="0.35">
      <c r="P68" s="79"/>
      <c r="Y68" s="68"/>
    </row>
    <row r="69" spans="16:25" x14ac:dyDescent="0.35">
      <c r="P69" s="79"/>
      <c r="Y69" s="68"/>
    </row>
    <row r="70" spans="16:25" x14ac:dyDescent="0.35">
      <c r="P70" s="79"/>
      <c r="Y70" s="68"/>
    </row>
    <row r="71" spans="16:25" x14ac:dyDescent="0.35">
      <c r="P71" s="79"/>
      <c r="Y71" s="68"/>
    </row>
    <row r="72" spans="16:25" x14ac:dyDescent="0.35">
      <c r="Y72" s="68"/>
    </row>
    <row r="73" spans="16:25" x14ac:dyDescent="0.35">
      <c r="Y73" s="68"/>
    </row>
    <row r="74" spans="16:25" x14ac:dyDescent="0.35">
      <c r="Y74" s="68"/>
    </row>
    <row r="75" spans="16:25" x14ac:dyDescent="0.35">
      <c r="Y75" s="68"/>
    </row>
    <row r="76" spans="16:25" hidden="1" outlineLevel="1" x14ac:dyDescent="0.35">
      <c r="Y76" s="68"/>
    </row>
    <row r="77" spans="16:25" hidden="1" outlineLevel="1" x14ac:dyDescent="0.35">
      <c r="Y77" s="68"/>
    </row>
    <row r="78" spans="16:25" hidden="1" outlineLevel="1" x14ac:dyDescent="0.35">
      <c r="Y78" s="68"/>
    </row>
    <row r="79" spans="16:25" hidden="1" outlineLevel="1" x14ac:dyDescent="0.35">
      <c r="Y79" s="68"/>
    </row>
    <row r="80" spans="16:25" hidden="1" outlineLevel="1" x14ac:dyDescent="0.35">
      <c r="Y80" s="68"/>
    </row>
    <row r="81" spans="2:25" hidden="1" outlineLevel="1" x14ac:dyDescent="0.35">
      <c r="Y81" s="68"/>
    </row>
    <row r="82" spans="2:25" hidden="1" outlineLevel="1" x14ac:dyDescent="0.35">
      <c r="Y82" s="68"/>
    </row>
    <row r="83" spans="2:25" hidden="1" outlineLevel="1" x14ac:dyDescent="0.35">
      <c r="Y83" s="68"/>
    </row>
    <row r="84" spans="2:25" hidden="1" outlineLevel="1" x14ac:dyDescent="0.35">
      <c r="Y84" s="68"/>
    </row>
    <row r="85" spans="2:25" hidden="1" outlineLevel="1" x14ac:dyDescent="0.35">
      <c r="Y85" s="68"/>
    </row>
    <row r="86" spans="2:25" hidden="1" outlineLevel="1" x14ac:dyDescent="0.35">
      <c r="Y86" s="68"/>
    </row>
    <row r="87" spans="2:25" hidden="1" outlineLevel="1" x14ac:dyDescent="0.35">
      <c r="Y87" s="68"/>
    </row>
    <row r="88" spans="2:25" hidden="1" outlineLevel="1" x14ac:dyDescent="0.35">
      <c r="Y88" s="68"/>
    </row>
    <row r="89" spans="2:25" hidden="1" outlineLevel="1" x14ac:dyDescent="0.35">
      <c r="Y89" s="68"/>
    </row>
    <row r="90" spans="2:25" hidden="1" outlineLevel="1" x14ac:dyDescent="0.35">
      <c r="Y90" s="68"/>
    </row>
    <row r="91" spans="2:25" hidden="1" outlineLevel="1" x14ac:dyDescent="0.35">
      <c r="Y91" s="68"/>
    </row>
    <row r="92" spans="2:25" hidden="1" outlineLevel="1" x14ac:dyDescent="0.35">
      <c r="Y92" s="68"/>
    </row>
    <row r="93" spans="2:25" collapsed="1" x14ac:dyDescent="0.35">
      <c r="Y93" s="68"/>
    </row>
    <row r="94" spans="2:25" x14ac:dyDescent="0.35">
      <c r="Y94" s="68"/>
    </row>
    <row r="95" spans="2:25" ht="26" x14ac:dyDescent="0.6">
      <c r="B95" s="3" t="s">
        <v>2</v>
      </c>
      <c r="P95" s="3" t="s">
        <v>2</v>
      </c>
      <c r="Q95" s="15"/>
      <c r="S95" s="3" t="s">
        <v>2</v>
      </c>
      <c r="Y95" s="68"/>
    </row>
    <row r="96" spans="2:25" ht="26" x14ac:dyDescent="0.6">
      <c r="Q96" s="15"/>
      <c r="S96" s="3"/>
      <c r="Y96" s="68"/>
    </row>
    <row r="97" spans="2:25" x14ac:dyDescent="0.35">
      <c r="B97" t="s">
        <v>3</v>
      </c>
      <c r="P97" t="s">
        <v>4</v>
      </c>
      <c r="Q97" s="15"/>
      <c r="S97" t="s">
        <v>5</v>
      </c>
      <c r="Y97" s="68"/>
    </row>
    <row r="98" spans="2:25" x14ac:dyDescent="0.35">
      <c r="Q98" s="15"/>
      <c r="Y98" s="68"/>
    </row>
    <row r="99" spans="2:25" x14ac:dyDescent="0.35">
      <c r="B99" s="2" t="s">
        <v>1</v>
      </c>
      <c r="C99" s="47" t="s">
        <v>0</v>
      </c>
      <c r="D99" s="4"/>
      <c r="E99" s="4"/>
      <c r="F99" s="4"/>
      <c r="G99" s="4"/>
      <c r="H99" s="101"/>
      <c r="I99" s="4"/>
      <c r="J99" s="4"/>
      <c r="K99" s="4"/>
      <c r="L99" s="123"/>
      <c r="M99" s="101"/>
      <c r="N99" s="4"/>
      <c r="O99" s="4"/>
      <c r="P99" s="2" t="s">
        <v>1</v>
      </c>
      <c r="Q99" s="50" t="s">
        <v>0</v>
      </c>
      <c r="S99" s="2" t="s">
        <v>1</v>
      </c>
      <c r="T99" s="4" t="s">
        <v>0</v>
      </c>
      <c r="Y99" s="68"/>
    </row>
    <row r="100" spans="2:25" x14ac:dyDescent="0.35">
      <c r="B100" s="1">
        <v>1</v>
      </c>
      <c r="C100" s="47"/>
      <c r="D100" s="4"/>
      <c r="E100" s="4"/>
      <c r="F100" s="4"/>
      <c r="G100" s="4"/>
      <c r="H100" s="101"/>
      <c r="I100" s="4"/>
      <c r="J100" s="4"/>
      <c r="K100" s="4"/>
      <c r="L100" s="123"/>
      <c r="M100" s="101"/>
      <c r="N100" s="4"/>
      <c r="O100" s="4"/>
      <c r="P100" s="1">
        <v>1</v>
      </c>
      <c r="Q100" s="4"/>
      <c r="S100" s="1">
        <v>1</v>
      </c>
      <c r="T100" s="4"/>
      <c r="Y100" s="68"/>
    </row>
    <row r="101" spans="2:25" x14ac:dyDescent="0.35">
      <c r="B101" s="1">
        <v>0</v>
      </c>
      <c r="C101" s="47"/>
      <c r="D101" s="4"/>
      <c r="E101" s="4"/>
      <c r="F101" s="4"/>
      <c r="G101" s="4"/>
      <c r="H101" s="101"/>
      <c r="I101" s="4"/>
      <c r="J101" s="4"/>
      <c r="K101" s="4"/>
      <c r="L101" s="123"/>
      <c r="M101" s="101"/>
      <c r="N101" s="4"/>
      <c r="O101" s="4"/>
      <c r="P101" s="1"/>
      <c r="Q101" s="4"/>
      <c r="S101" s="1">
        <v>3</v>
      </c>
      <c r="T101" s="4"/>
      <c r="Y101" s="68"/>
    </row>
    <row r="102" spans="2:25" x14ac:dyDescent="0.35">
      <c r="B102" s="1"/>
      <c r="C102" s="47"/>
      <c r="D102" s="4"/>
      <c r="E102" s="4"/>
      <c r="F102" s="4"/>
      <c r="G102" s="4"/>
      <c r="H102" s="101"/>
      <c r="I102" s="4"/>
      <c r="J102" s="4"/>
      <c r="K102" s="4"/>
      <c r="L102" s="123"/>
      <c r="M102" s="101"/>
      <c r="N102" s="4"/>
      <c r="O102" s="4"/>
      <c r="P102" s="1">
        <v>1</v>
      </c>
      <c r="Q102" s="4"/>
      <c r="S102" s="1">
        <v>3</v>
      </c>
      <c r="T102" s="4"/>
      <c r="Y102" s="68"/>
    </row>
    <row r="103" spans="2:25" x14ac:dyDescent="0.35">
      <c r="B103" s="1">
        <v>1</v>
      </c>
      <c r="C103" s="48"/>
      <c r="D103" s="4"/>
      <c r="E103" s="4"/>
      <c r="F103" s="4"/>
      <c r="G103" s="4"/>
      <c r="H103" s="101"/>
      <c r="I103" s="4"/>
      <c r="J103" s="4"/>
      <c r="K103" s="4"/>
      <c r="L103" s="123"/>
      <c r="M103" s="101"/>
      <c r="N103" s="4"/>
      <c r="O103" s="4"/>
      <c r="P103" s="1">
        <v>1</v>
      </c>
      <c r="Q103" s="6"/>
      <c r="S103" s="1">
        <v>4</v>
      </c>
      <c r="T103" s="6"/>
      <c r="Y103" s="68"/>
    </row>
    <row r="104" spans="2:25" x14ac:dyDescent="0.35">
      <c r="B104" s="1"/>
      <c r="C104" s="47"/>
      <c r="D104" s="4"/>
      <c r="E104" s="4"/>
      <c r="F104" s="4"/>
      <c r="G104" s="4"/>
      <c r="H104" s="101"/>
      <c r="I104" s="4"/>
      <c r="J104" s="4"/>
      <c r="K104" s="4"/>
      <c r="L104" s="123"/>
      <c r="M104" s="101"/>
      <c r="N104" s="4"/>
      <c r="O104" s="4"/>
      <c r="P104" s="1"/>
      <c r="Q104" s="4"/>
      <c r="S104" s="1">
        <v>4</v>
      </c>
      <c r="T104" s="4"/>
      <c r="Y104" s="68"/>
    </row>
    <row r="105" spans="2:25" x14ac:dyDescent="0.35">
      <c r="B105" s="1"/>
      <c r="C105" s="47"/>
      <c r="D105" s="4"/>
      <c r="E105" s="4"/>
      <c r="F105" s="4"/>
      <c r="G105" s="4"/>
      <c r="H105" s="101"/>
      <c r="I105" s="4"/>
      <c r="J105" s="4"/>
      <c r="K105" s="4"/>
      <c r="L105" s="123"/>
      <c r="M105" s="101"/>
      <c r="N105" s="4"/>
      <c r="O105" s="4"/>
      <c r="P105" s="1"/>
      <c r="Q105" s="4"/>
      <c r="S105" s="1"/>
      <c r="T105" s="4"/>
      <c r="Y105" s="68"/>
    </row>
    <row r="106" spans="2:25" x14ac:dyDescent="0.35">
      <c r="B106" s="1"/>
      <c r="C106" s="47"/>
      <c r="D106" s="4"/>
      <c r="E106" s="4"/>
      <c r="F106" s="4"/>
      <c r="G106" s="4"/>
      <c r="H106" s="101"/>
      <c r="I106" s="4"/>
      <c r="J106" s="4"/>
      <c r="K106" s="4"/>
      <c r="L106" s="123"/>
      <c r="M106" s="101"/>
      <c r="N106" s="4"/>
      <c r="O106" s="4"/>
      <c r="P106" s="1"/>
      <c r="Q106" s="4"/>
      <c r="S106" s="1"/>
      <c r="T106" s="4"/>
      <c r="Y106" s="68"/>
    </row>
    <row r="107" spans="2:25" x14ac:dyDescent="0.35">
      <c r="D107" s="4"/>
      <c r="E107" s="4"/>
      <c r="F107" s="4"/>
      <c r="G107" s="4"/>
      <c r="H107" s="101"/>
      <c r="I107" s="4"/>
      <c r="J107" s="4"/>
      <c r="K107" s="4"/>
      <c r="L107" s="123"/>
      <c r="M107" s="101"/>
      <c r="N107" s="4"/>
      <c r="O107" s="4"/>
      <c r="Y107" s="68"/>
    </row>
    <row r="108" spans="2:25" x14ac:dyDescent="0.35">
      <c r="D108" s="4"/>
      <c r="E108" s="4"/>
      <c r="F108" s="4"/>
      <c r="G108" s="4"/>
      <c r="H108" s="101"/>
      <c r="I108" s="4"/>
      <c r="J108" s="4"/>
      <c r="K108" s="4"/>
      <c r="L108" s="123"/>
      <c r="M108" s="101"/>
      <c r="N108" s="4"/>
      <c r="O108" s="4"/>
      <c r="Y108" s="68"/>
    </row>
    <row r="109" spans="2:25" x14ac:dyDescent="0.35">
      <c r="B109" s="5" t="s">
        <v>7</v>
      </c>
      <c r="C109" s="47" t="s">
        <v>6</v>
      </c>
      <c r="Y109" s="68"/>
    </row>
    <row r="110" spans="2:25" x14ac:dyDescent="0.35">
      <c r="Y110" s="68"/>
    </row>
    <row r="111" spans="2:25" x14ac:dyDescent="0.35">
      <c r="Y111" s="68"/>
    </row>
    <row r="112" spans="2:25" x14ac:dyDescent="0.35">
      <c r="Y112" s="68"/>
    </row>
    <row r="113" spans="3:25" x14ac:dyDescent="0.35">
      <c r="Y113" s="68"/>
    </row>
    <row r="114" spans="3:25" x14ac:dyDescent="0.35">
      <c r="Y114" s="68"/>
    </row>
    <row r="115" spans="3:25" x14ac:dyDescent="0.35">
      <c r="Y115" s="68"/>
    </row>
    <row r="116" spans="3:25" x14ac:dyDescent="0.35">
      <c r="C116" s="49"/>
      <c r="Y116" s="68"/>
    </row>
    <row r="117" spans="3:25" x14ac:dyDescent="0.35">
      <c r="Y117" s="68"/>
    </row>
    <row r="118" spans="3:25" x14ac:dyDescent="0.35">
      <c r="Y118" s="68"/>
    </row>
    <row r="119" spans="3:25" x14ac:dyDescent="0.35">
      <c r="Y119" s="68"/>
    </row>
    <row r="120" spans="3:25" x14ac:dyDescent="0.35">
      <c r="Y120" s="68"/>
    </row>
    <row r="121" spans="3:25" x14ac:dyDescent="0.35">
      <c r="Y121" s="68"/>
    </row>
    <row r="122" spans="3:25" x14ac:dyDescent="0.35">
      <c r="Y122" s="68"/>
    </row>
    <row r="123" spans="3:25" x14ac:dyDescent="0.35">
      <c r="Y123" s="68"/>
    </row>
    <row r="124" spans="3:25" x14ac:dyDescent="0.35">
      <c r="Y124" s="68"/>
    </row>
    <row r="125" spans="3:25" x14ac:dyDescent="0.35">
      <c r="Y125" s="68"/>
    </row>
    <row r="126" spans="3:25" x14ac:dyDescent="0.35">
      <c r="Y126" s="68"/>
    </row>
    <row r="127" spans="3:25" x14ac:dyDescent="0.35">
      <c r="Y127" s="68"/>
    </row>
    <row r="128" spans="3:25" x14ac:dyDescent="0.35">
      <c r="Y128" s="68"/>
    </row>
    <row r="129" spans="25:25" x14ac:dyDescent="0.35">
      <c r="Y129" s="68"/>
    </row>
    <row r="130" spans="25:25" x14ac:dyDescent="0.35">
      <c r="Y130" s="68"/>
    </row>
    <row r="131" spans="25:25" x14ac:dyDescent="0.35">
      <c r="Y131" s="68"/>
    </row>
    <row r="132" spans="25:25" x14ac:dyDescent="0.35">
      <c r="Y132" s="68"/>
    </row>
    <row r="133" spans="25:25" x14ac:dyDescent="0.35">
      <c r="Y133" s="68"/>
    </row>
    <row r="134" spans="25:25" x14ac:dyDescent="0.35">
      <c r="Y134" s="68"/>
    </row>
    <row r="135" spans="25:25" x14ac:dyDescent="0.35">
      <c r="Y135" s="68"/>
    </row>
    <row r="136" spans="25:25" x14ac:dyDescent="0.35">
      <c r="Y136" s="68"/>
    </row>
    <row r="137" spans="25:25" x14ac:dyDescent="0.35">
      <c r="Y137" s="68"/>
    </row>
    <row r="138" spans="25:25" x14ac:dyDescent="0.35">
      <c r="Y138" s="68"/>
    </row>
    <row r="139" spans="25:25" x14ac:dyDescent="0.35">
      <c r="Y139" s="68"/>
    </row>
    <row r="140" spans="25:25" x14ac:dyDescent="0.35">
      <c r="Y140" s="68"/>
    </row>
    <row r="141" spans="25:25" x14ac:dyDescent="0.35">
      <c r="Y141" s="68"/>
    </row>
    <row r="142" spans="25:25" x14ac:dyDescent="0.35">
      <c r="Y142" s="68"/>
    </row>
    <row r="143" spans="25:25" x14ac:dyDescent="0.35">
      <c r="Y143" s="68"/>
    </row>
    <row r="144" spans="25:25" x14ac:dyDescent="0.35">
      <c r="Y144" s="68"/>
    </row>
    <row r="145" spans="25:25" x14ac:dyDescent="0.35">
      <c r="Y145" s="68"/>
    </row>
    <row r="146" spans="25:25" x14ac:dyDescent="0.35">
      <c r="Y146" s="68"/>
    </row>
    <row r="147" spans="25:25" x14ac:dyDescent="0.35">
      <c r="Y147" s="68"/>
    </row>
    <row r="148" spans="25:25" x14ac:dyDescent="0.35">
      <c r="Y148" s="68"/>
    </row>
    <row r="149" spans="25:25" x14ac:dyDescent="0.35">
      <c r="Y149" s="68"/>
    </row>
    <row r="150" spans="25:25" x14ac:dyDescent="0.35">
      <c r="Y150" s="68"/>
    </row>
    <row r="151" spans="25:25" x14ac:dyDescent="0.35">
      <c r="Y151" s="68"/>
    </row>
    <row r="152" spans="25:25" x14ac:dyDescent="0.35">
      <c r="Y152" s="68"/>
    </row>
    <row r="153" spans="25:25" x14ac:dyDescent="0.35">
      <c r="Y153" s="68"/>
    </row>
    <row r="154" spans="25:25" x14ac:dyDescent="0.35">
      <c r="Y154" s="68"/>
    </row>
    <row r="155" spans="25:25" x14ac:dyDescent="0.35">
      <c r="Y155" s="68"/>
    </row>
    <row r="156" spans="25:25" x14ac:dyDescent="0.35">
      <c r="Y156" s="68"/>
    </row>
    <row r="157" spans="25:25" x14ac:dyDescent="0.35">
      <c r="Y157" s="68"/>
    </row>
    <row r="158" spans="25:25" x14ac:dyDescent="0.35">
      <c r="Y158" s="68"/>
    </row>
    <row r="159" spans="25:25" x14ac:dyDescent="0.35">
      <c r="Y159" s="68"/>
    </row>
    <row r="160" spans="25:25" x14ac:dyDescent="0.35">
      <c r="Y160" s="68"/>
    </row>
    <row r="161" spans="25:25" x14ac:dyDescent="0.35">
      <c r="Y161" s="68"/>
    </row>
    <row r="162" spans="25:25" x14ac:dyDescent="0.35">
      <c r="Y162" s="68"/>
    </row>
    <row r="163" spans="25:25" x14ac:dyDescent="0.35">
      <c r="Y163" s="68"/>
    </row>
    <row r="164" spans="25:25" x14ac:dyDescent="0.35">
      <c r="Y164" s="68"/>
    </row>
    <row r="165" spans="25:25" x14ac:dyDescent="0.35">
      <c r="Y165" s="68"/>
    </row>
    <row r="166" spans="25:25" x14ac:dyDescent="0.35">
      <c r="Y166" s="68"/>
    </row>
    <row r="167" spans="25:25" x14ac:dyDescent="0.35">
      <c r="Y167" s="68"/>
    </row>
    <row r="168" spans="25:25" x14ac:dyDescent="0.35">
      <c r="Y168" s="68"/>
    </row>
    <row r="169" spans="25:25" x14ac:dyDescent="0.35">
      <c r="Y169" s="68"/>
    </row>
    <row r="170" spans="25:25" x14ac:dyDescent="0.35">
      <c r="Y170" s="68"/>
    </row>
    <row r="171" spans="25:25" x14ac:dyDescent="0.35">
      <c r="Y171" s="68"/>
    </row>
    <row r="172" spans="25:25" x14ac:dyDescent="0.35">
      <c r="Y172" s="68"/>
    </row>
    <row r="173" spans="25:25" x14ac:dyDescent="0.35">
      <c r="Y173" s="68"/>
    </row>
    <row r="174" spans="25:25" x14ac:dyDescent="0.35">
      <c r="Y174" s="68"/>
    </row>
    <row r="175" spans="25:25" x14ac:dyDescent="0.35">
      <c r="Y175" s="68"/>
    </row>
    <row r="176" spans="25:25" x14ac:dyDescent="0.35">
      <c r="Y176" s="68"/>
    </row>
    <row r="177" spans="25:25" x14ac:dyDescent="0.35">
      <c r="Y177" s="68"/>
    </row>
    <row r="178" spans="25:25" x14ac:dyDescent="0.35">
      <c r="Y178" s="68"/>
    </row>
    <row r="179" spans="25:25" x14ac:dyDescent="0.35">
      <c r="Y179" s="68"/>
    </row>
    <row r="180" spans="25:25" x14ac:dyDescent="0.35">
      <c r="Y180" s="68"/>
    </row>
    <row r="181" spans="25:25" x14ac:dyDescent="0.35">
      <c r="Y181" s="68"/>
    </row>
    <row r="182" spans="25:25" x14ac:dyDescent="0.35">
      <c r="Y182" s="68"/>
    </row>
    <row r="183" spans="25:25" x14ac:dyDescent="0.35">
      <c r="Y183" s="68"/>
    </row>
    <row r="184" spans="25:25" x14ac:dyDescent="0.35">
      <c r="Y184" s="68"/>
    </row>
    <row r="185" spans="25:25" x14ac:dyDescent="0.35">
      <c r="Y185" s="68"/>
    </row>
    <row r="186" spans="25:25" x14ac:dyDescent="0.35">
      <c r="Y186" s="68"/>
    </row>
    <row r="187" spans="25:25" x14ac:dyDescent="0.35">
      <c r="Y187" s="68"/>
    </row>
    <row r="188" spans="25:25" x14ac:dyDescent="0.35">
      <c r="Y188" s="68"/>
    </row>
    <row r="189" spans="25:25" x14ac:dyDescent="0.35">
      <c r="Y189" s="68"/>
    </row>
    <row r="190" spans="25:25" x14ac:dyDescent="0.35">
      <c r="Y190" s="68"/>
    </row>
    <row r="191" spans="25:25" x14ac:dyDescent="0.35">
      <c r="Y191" s="68"/>
    </row>
    <row r="192" spans="25:25" x14ac:dyDescent="0.35">
      <c r="Y192" s="68"/>
    </row>
    <row r="193" spans="25:25" x14ac:dyDescent="0.35">
      <c r="Y193" s="68"/>
    </row>
    <row r="194" spans="25:25" x14ac:dyDescent="0.35">
      <c r="Y194" s="68"/>
    </row>
    <row r="195" spans="25:25" x14ac:dyDescent="0.35">
      <c r="Y195" s="68"/>
    </row>
    <row r="196" spans="25:25" x14ac:dyDescent="0.35">
      <c r="Y196" s="68"/>
    </row>
    <row r="197" spans="25:25" x14ac:dyDescent="0.35">
      <c r="Y197" s="68"/>
    </row>
    <row r="198" spans="25:25" x14ac:dyDescent="0.35">
      <c r="Y198" s="68"/>
    </row>
    <row r="199" spans="25:25" x14ac:dyDescent="0.35">
      <c r="Y199" s="68"/>
    </row>
    <row r="200" spans="25:25" x14ac:dyDescent="0.35">
      <c r="Y200" s="68"/>
    </row>
    <row r="201" spans="25:25" x14ac:dyDescent="0.35">
      <c r="Y201" s="68"/>
    </row>
    <row r="202" spans="25:25" x14ac:dyDescent="0.35">
      <c r="Y202" s="68"/>
    </row>
    <row r="203" spans="25:25" x14ac:dyDescent="0.35">
      <c r="Y203" s="68"/>
    </row>
    <row r="204" spans="25:25" x14ac:dyDescent="0.35">
      <c r="Y204" s="68"/>
    </row>
    <row r="205" spans="25:25" x14ac:dyDescent="0.35">
      <c r="Y205" s="68"/>
    </row>
    <row r="206" spans="25:25" x14ac:dyDescent="0.35">
      <c r="Y206" s="68"/>
    </row>
    <row r="207" spans="25:25" x14ac:dyDescent="0.35">
      <c r="Y207" s="68"/>
    </row>
    <row r="208" spans="25:25" x14ac:dyDescent="0.35">
      <c r="Y208" s="68"/>
    </row>
    <row r="209" spans="25:25" x14ac:dyDescent="0.35">
      <c r="Y209" s="68"/>
    </row>
    <row r="210" spans="25:25" x14ac:dyDescent="0.35">
      <c r="Y210" s="68"/>
    </row>
    <row r="211" spans="25:25" x14ac:dyDescent="0.35">
      <c r="Y211" s="68"/>
    </row>
    <row r="212" spans="25:25" x14ac:dyDescent="0.35">
      <c r="Y212" s="68"/>
    </row>
    <row r="213" spans="25:25" x14ac:dyDescent="0.35">
      <c r="Y213" s="68"/>
    </row>
    <row r="214" spans="25:25" x14ac:dyDescent="0.35">
      <c r="Y214" s="68"/>
    </row>
    <row r="215" spans="25:25" x14ac:dyDescent="0.35">
      <c r="Y215" s="68"/>
    </row>
    <row r="216" spans="25:25" x14ac:dyDescent="0.35">
      <c r="Y216" s="68"/>
    </row>
    <row r="217" spans="25:25" x14ac:dyDescent="0.35">
      <c r="Y217" s="68"/>
    </row>
    <row r="218" spans="25:25" x14ac:dyDescent="0.35">
      <c r="Y218" s="68"/>
    </row>
    <row r="219" spans="25:25" x14ac:dyDescent="0.35">
      <c r="Y219" s="68"/>
    </row>
    <row r="220" spans="25:25" x14ac:dyDescent="0.35">
      <c r="Y220" s="68"/>
    </row>
    <row r="221" spans="25:25" x14ac:dyDescent="0.35">
      <c r="Y221" s="68"/>
    </row>
    <row r="222" spans="25:25" x14ac:dyDescent="0.35">
      <c r="Y222" s="68"/>
    </row>
    <row r="223" spans="25:25" x14ac:dyDescent="0.35">
      <c r="Y223" s="68"/>
    </row>
    <row r="224" spans="25:25" x14ac:dyDescent="0.35">
      <c r="Y224" s="68"/>
    </row>
    <row r="225" spans="25:25" x14ac:dyDescent="0.35">
      <c r="Y225" s="68"/>
    </row>
    <row r="226" spans="25:25" x14ac:dyDescent="0.35">
      <c r="Y226" s="68"/>
    </row>
    <row r="227" spans="25:25" x14ac:dyDescent="0.35">
      <c r="Y227" s="68"/>
    </row>
    <row r="228" spans="25:25" x14ac:dyDescent="0.35">
      <c r="Y228" s="68"/>
    </row>
    <row r="229" spans="25:25" x14ac:dyDescent="0.35">
      <c r="Y229" s="68"/>
    </row>
    <row r="230" spans="25:25" x14ac:dyDescent="0.35">
      <c r="Y230" s="68"/>
    </row>
    <row r="231" spans="25:25" x14ac:dyDescent="0.35">
      <c r="Y231" s="68"/>
    </row>
    <row r="232" spans="25:25" x14ac:dyDescent="0.35">
      <c r="Y232" s="68"/>
    </row>
    <row r="233" spans="25:25" x14ac:dyDescent="0.35">
      <c r="Y233" s="68"/>
    </row>
    <row r="234" spans="25:25" x14ac:dyDescent="0.35">
      <c r="Y234" s="68"/>
    </row>
    <row r="235" spans="25:25" x14ac:dyDescent="0.35">
      <c r="Y235" s="68"/>
    </row>
    <row r="236" spans="25:25" x14ac:dyDescent="0.35">
      <c r="Y236" s="68"/>
    </row>
    <row r="237" spans="25:25" x14ac:dyDescent="0.35">
      <c r="Y237" s="68"/>
    </row>
    <row r="238" spans="25:25" x14ac:dyDescent="0.35">
      <c r="Y238" s="68"/>
    </row>
    <row r="239" spans="25:25" x14ac:dyDescent="0.35">
      <c r="Y239" s="68"/>
    </row>
    <row r="240" spans="25:25" x14ac:dyDescent="0.35">
      <c r="Y240" s="68"/>
    </row>
    <row r="241" spans="25:25" x14ac:dyDescent="0.35">
      <c r="Y241" s="68"/>
    </row>
    <row r="242" spans="25:25" x14ac:dyDescent="0.35">
      <c r="Y242" s="68"/>
    </row>
    <row r="243" spans="25:25" x14ac:dyDescent="0.35">
      <c r="Y243" s="68"/>
    </row>
    <row r="244" spans="25:25" x14ac:dyDescent="0.35">
      <c r="Y244" s="68"/>
    </row>
    <row r="245" spans="25:25" x14ac:dyDescent="0.35">
      <c r="Y245" s="68"/>
    </row>
    <row r="246" spans="25:25" x14ac:dyDescent="0.35">
      <c r="Y246" s="68"/>
    </row>
    <row r="247" spans="25:25" x14ac:dyDescent="0.35">
      <c r="Y247" s="68"/>
    </row>
    <row r="248" spans="25:25" x14ac:dyDescent="0.35">
      <c r="Y248" s="68"/>
    </row>
    <row r="249" spans="25:25" x14ac:dyDescent="0.35">
      <c r="Y249" s="68"/>
    </row>
    <row r="250" spans="25:25" x14ac:dyDescent="0.35">
      <c r="Y250" s="68"/>
    </row>
    <row r="251" spans="25:25" x14ac:dyDescent="0.35">
      <c r="Y251" s="68"/>
    </row>
    <row r="252" spans="25:25" x14ac:dyDescent="0.35">
      <c r="Y252" s="68"/>
    </row>
    <row r="253" spans="25:25" x14ac:dyDescent="0.35">
      <c r="Y253" s="68"/>
    </row>
    <row r="254" spans="25:25" x14ac:dyDescent="0.35">
      <c r="Y254" s="68"/>
    </row>
    <row r="255" spans="25:25" x14ac:dyDescent="0.35">
      <c r="Y255" s="68"/>
    </row>
    <row r="256" spans="25:25" x14ac:dyDescent="0.35">
      <c r="Y256" s="68"/>
    </row>
    <row r="257" spans="25:25" x14ac:dyDescent="0.35">
      <c r="Y257" s="68"/>
    </row>
    <row r="258" spans="25:25" x14ac:dyDescent="0.35">
      <c r="Y258" s="68"/>
    </row>
    <row r="259" spans="25:25" x14ac:dyDescent="0.35">
      <c r="Y259" s="68"/>
    </row>
    <row r="260" spans="25:25" x14ac:dyDescent="0.35">
      <c r="Y260" s="68"/>
    </row>
    <row r="261" spans="25:25" x14ac:dyDescent="0.35">
      <c r="Y261" s="68"/>
    </row>
    <row r="262" spans="25:25" x14ac:dyDescent="0.35">
      <c r="Y262" s="68"/>
    </row>
    <row r="263" spans="25:25" x14ac:dyDescent="0.35">
      <c r="Y263" s="68"/>
    </row>
    <row r="264" spans="25:25" x14ac:dyDescent="0.35">
      <c r="Y264" s="68"/>
    </row>
    <row r="265" spans="25:25" x14ac:dyDescent="0.35">
      <c r="Y265" s="68"/>
    </row>
    <row r="266" spans="25:25" x14ac:dyDescent="0.35">
      <c r="Y266" s="68"/>
    </row>
    <row r="267" spans="25:25" x14ac:dyDescent="0.35">
      <c r="Y267" s="68"/>
    </row>
    <row r="268" spans="25:25" x14ac:dyDescent="0.35">
      <c r="Y268" s="68"/>
    </row>
    <row r="269" spans="25:25" x14ac:dyDescent="0.35">
      <c r="Y269" s="68"/>
    </row>
    <row r="270" spans="25:25" x14ac:dyDescent="0.35">
      <c r="Y270" s="68"/>
    </row>
    <row r="271" spans="25:25" x14ac:dyDescent="0.35">
      <c r="Y271" s="68"/>
    </row>
    <row r="272" spans="25:25" x14ac:dyDescent="0.35">
      <c r="Y272" s="68"/>
    </row>
    <row r="273" spans="25:25" x14ac:dyDescent="0.35">
      <c r="Y273" s="68"/>
    </row>
    <row r="274" spans="25:25" x14ac:dyDescent="0.35">
      <c r="Y274" s="68"/>
    </row>
    <row r="275" spans="25:25" x14ac:dyDescent="0.35">
      <c r="Y275" s="68"/>
    </row>
    <row r="276" spans="25:25" x14ac:dyDescent="0.35">
      <c r="Y276" s="68"/>
    </row>
    <row r="277" spans="25:25" x14ac:dyDescent="0.35">
      <c r="Y277" s="68"/>
    </row>
    <row r="278" spans="25:25" x14ac:dyDescent="0.35">
      <c r="Y278" s="68"/>
    </row>
    <row r="279" spans="25:25" x14ac:dyDescent="0.35">
      <c r="Y279" s="68"/>
    </row>
    <row r="280" spans="25:25" x14ac:dyDescent="0.35">
      <c r="Y280" s="68"/>
    </row>
    <row r="281" spans="25:25" x14ac:dyDescent="0.35">
      <c r="Y281" s="68"/>
    </row>
    <row r="282" spans="25:25" x14ac:dyDescent="0.35">
      <c r="Y282" s="68"/>
    </row>
    <row r="283" spans="25:25" x14ac:dyDescent="0.35">
      <c r="Y283" s="68"/>
    </row>
    <row r="284" spans="25:25" x14ac:dyDescent="0.35">
      <c r="Y284" s="68"/>
    </row>
    <row r="285" spans="25:25" x14ac:dyDescent="0.35">
      <c r="Y285" s="68"/>
    </row>
    <row r="286" spans="25:25" x14ac:dyDescent="0.35">
      <c r="Y286" s="68"/>
    </row>
    <row r="287" spans="25:25" x14ac:dyDescent="0.35">
      <c r="Y287" s="68"/>
    </row>
    <row r="288" spans="25:25" x14ac:dyDescent="0.35">
      <c r="Y288" s="68"/>
    </row>
    <row r="289" spans="25:25" x14ac:dyDescent="0.35">
      <c r="Y289" s="68"/>
    </row>
    <row r="290" spans="25:25" x14ac:dyDescent="0.35">
      <c r="Y290" s="68"/>
    </row>
    <row r="291" spans="25:25" x14ac:dyDescent="0.35">
      <c r="Y291" s="68"/>
    </row>
    <row r="292" spans="25:25" x14ac:dyDescent="0.35">
      <c r="Y292" s="68"/>
    </row>
    <row r="293" spans="25:25" x14ac:dyDescent="0.35">
      <c r="Y293" s="68"/>
    </row>
    <row r="294" spans="25:25" x14ac:dyDescent="0.35">
      <c r="Y294" s="68"/>
    </row>
    <row r="295" spans="25:25" x14ac:dyDescent="0.35">
      <c r="Y295" s="68"/>
    </row>
    <row r="296" spans="25:25" x14ac:dyDescent="0.35">
      <c r="Y296" s="68"/>
    </row>
    <row r="297" spans="25:25" x14ac:dyDescent="0.35">
      <c r="Y297" s="68"/>
    </row>
    <row r="298" spans="25:25" x14ac:dyDescent="0.35">
      <c r="Y298" s="68"/>
    </row>
    <row r="299" spans="25:25" x14ac:dyDescent="0.35">
      <c r="Y299" s="68"/>
    </row>
    <row r="300" spans="25:25" x14ac:dyDescent="0.35">
      <c r="Y300" s="68"/>
    </row>
    <row r="301" spans="25:25" x14ac:dyDescent="0.35">
      <c r="Y301" s="68"/>
    </row>
    <row r="302" spans="25:25" x14ac:dyDescent="0.35">
      <c r="Y302" s="68"/>
    </row>
    <row r="303" spans="25:25" x14ac:dyDescent="0.35">
      <c r="Y303" s="68"/>
    </row>
    <row r="304" spans="25:25" x14ac:dyDescent="0.35">
      <c r="Y304" s="68"/>
    </row>
    <row r="305" spans="25:25" x14ac:dyDescent="0.35">
      <c r="Y305" s="68"/>
    </row>
    <row r="306" spans="25:25" x14ac:dyDescent="0.35">
      <c r="Y306" s="68"/>
    </row>
    <row r="307" spans="25:25" x14ac:dyDescent="0.35">
      <c r="Y307" s="68"/>
    </row>
    <row r="308" spans="25:25" x14ac:dyDescent="0.35">
      <c r="Y308" s="68"/>
    </row>
    <row r="309" spans="25:25" x14ac:dyDescent="0.35">
      <c r="Y309" s="68"/>
    </row>
    <row r="310" spans="25:25" x14ac:dyDescent="0.35">
      <c r="Y310" s="68"/>
    </row>
    <row r="311" spans="25:25" x14ac:dyDescent="0.35">
      <c r="Y311" s="68"/>
    </row>
    <row r="312" spans="25:25" x14ac:dyDescent="0.35">
      <c r="Y312" s="68"/>
    </row>
    <row r="313" spans="25:25" x14ac:dyDescent="0.35">
      <c r="Y313" s="68"/>
    </row>
    <row r="314" spans="25:25" x14ac:dyDescent="0.35">
      <c r="Y314" s="68"/>
    </row>
    <row r="315" spans="25:25" x14ac:dyDescent="0.35">
      <c r="Y315" s="68"/>
    </row>
    <row r="316" spans="25:25" x14ac:dyDescent="0.35">
      <c r="Y316" s="68"/>
    </row>
    <row r="317" spans="25:25" x14ac:dyDescent="0.35">
      <c r="Y317" s="68"/>
    </row>
    <row r="318" spans="25:25" x14ac:dyDescent="0.35">
      <c r="Y318" s="68"/>
    </row>
    <row r="319" spans="25:25" x14ac:dyDescent="0.35">
      <c r="Y319" s="68"/>
    </row>
    <row r="320" spans="25:25" x14ac:dyDescent="0.35">
      <c r="Y320" s="68"/>
    </row>
    <row r="321" spans="25:25" x14ac:dyDescent="0.35">
      <c r="Y321" s="68"/>
    </row>
    <row r="322" spans="25:25" x14ac:dyDescent="0.35">
      <c r="Y322" s="68"/>
    </row>
    <row r="323" spans="25:25" x14ac:dyDescent="0.35">
      <c r="Y323" s="68"/>
    </row>
    <row r="324" spans="25:25" x14ac:dyDescent="0.35">
      <c r="Y324" s="68"/>
    </row>
    <row r="325" spans="25:25" x14ac:dyDescent="0.35">
      <c r="Y325" s="68"/>
    </row>
    <row r="326" spans="25:25" x14ac:dyDescent="0.35">
      <c r="Y326" s="68"/>
    </row>
    <row r="327" spans="25:25" x14ac:dyDescent="0.35">
      <c r="Y327" s="68"/>
    </row>
    <row r="328" spans="25:25" x14ac:dyDescent="0.35">
      <c r="Y328" s="68"/>
    </row>
    <row r="329" spans="25:25" x14ac:dyDescent="0.35">
      <c r="Y329" s="68"/>
    </row>
    <row r="330" spans="25:25" x14ac:dyDescent="0.35">
      <c r="Y330" s="68"/>
    </row>
    <row r="331" spans="25:25" x14ac:dyDescent="0.35">
      <c r="Y331" s="68"/>
    </row>
    <row r="332" spans="25:25" x14ac:dyDescent="0.35">
      <c r="Y332" s="68"/>
    </row>
    <row r="333" spans="25:25" x14ac:dyDescent="0.35">
      <c r="Y333" s="68"/>
    </row>
    <row r="334" spans="25:25" x14ac:dyDescent="0.35">
      <c r="Y334" s="68"/>
    </row>
    <row r="335" spans="25:25" x14ac:dyDescent="0.35">
      <c r="Y335" s="68"/>
    </row>
    <row r="336" spans="25:25" x14ac:dyDescent="0.35">
      <c r="Y336" s="68"/>
    </row>
    <row r="337" spans="25:25" x14ac:dyDescent="0.35">
      <c r="Y337" s="68"/>
    </row>
    <row r="338" spans="25:25" x14ac:dyDescent="0.35">
      <c r="Y338" s="68"/>
    </row>
    <row r="339" spans="25:25" x14ac:dyDescent="0.35">
      <c r="Y339" s="68"/>
    </row>
    <row r="340" spans="25:25" x14ac:dyDescent="0.35">
      <c r="Y340" s="68"/>
    </row>
    <row r="341" spans="25:25" x14ac:dyDescent="0.35">
      <c r="Y341" s="68"/>
    </row>
    <row r="342" spans="25:25" x14ac:dyDescent="0.35">
      <c r="Y342" s="68"/>
    </row>
    <row r="343" spans="25:25" x14ac:dyDescent="0.35">
      <c r="Y343" s="68"/>
    </row>
    <row r="344" spans="25:25" x14ac:dyDescent="0.35">
      <c r="Y344" s="68"/>
    </row>
    <row r="345" spans="25:25" x14ac:dyDescent="0.35">
      <c r="Y345" s="68"/>
    </row>
    <row r="346" spans="25:25" x14ac:dyDescent="0.35">
      <c r="Y346" s="68"/>
    </row>
    <row r="347" spans="25:25" x14ac:dyDescent="0.35">
      <c r="Y347" s="68"/>
    </row>
    <row r="348" spans="25:25" x14ac:dyDescent="0.35">
      <c r="Y348" s="68"/>
    </row>
    <row r="349" spans="25:25" x14ac:dyDescent="0.35">
      <c r="Y349" s="68"/>
    </row>
    <row r="350" spans="25:25" x14ac:dyDescent="0.35">
      <c r="Y350" s="68"/>
    </row>
    <row r="351" spans="25:25" x14ac:dyDescent="0.35">
      <c r="Y351" s="68"/>
    </row>
    <row r="352" spans="25:25" x14ac:dyDescent="0.35">
      <c r="Y352" s="68"/>
    </row>
    <row r="353" spans="25:25" x14ac:dyDescent="0.35">
      <c r="Y353" s="68"/>
    </row>
    <row r="354" spans="25:25" x14ac:dyDescent="0.35">
      <c r="Y354" s="68"/>
    </row>
    <row r="355" spans="25:25" x14ac:dyDescent="0.35">
      <c r="Y355" s="68"/>
    </row>
    <row r="356" spans="25:25" x14ac:dyDescent="0.35">
      <c r="Y356" s="68"/>
    </row>
    <row r="357" spans="25:25" x14ac:dyDescent="0.35">
      <c r="Y357" s="68"/>
    </row>
    <row r="358" spans="25:25" x14ac:dyDescent="0.35">
      <c r="Y358" s="68"/>
    </row>
    <row r="359" spans="25:25" x14ac:dyDescent="0.35">
      <c r="Y359" s="68"/>
    </row>
    <row r="360" spans="25:25" x14ac:dyDescent="0.35">
      <c r="Y360" s="68"/>
    </row>
    <row r="361" spans="25:25" x14ac:dyDescent="0.35">
      <c r="Y361" s="68"/>
    </row>
    <row r="362" spans="25:25" x14ac:dyDescent="0.35">
      <c r="Y362" s="68"/>
    </row>
    <row r="363" spans="25:25" x14ac:dyDescent="0.35">
      <c r="Y363" s="68"/>
    </row>
    <row r="364" spans="25:25" x14ac:dyDescent="0.35">
      <c r="Y364" s="68"/>
    </row>
    <row r="365" spans="25:25" x14ac:dyDescent="0.35">
      <c r="Y365" s="68"/>
    </row>
    <row r="366" spans="25:25" x14ac:dyDescent="0.35">
      <c r="Y366" s="68"/>
    </row>
    <row r="367" spans="25:25" x14ac:dyDescent="0.35">
      <c r="Y367" s="68"/>
    </row>
    <row r="368" spans="25:25" x14ac:dyDescent="0.35">
      <c r="Y368" s="68"/>
    </row>
    <row r="369" spans="25:25" x14ac:dyDescent="0.35">
      <c r="Y369" s="68"/>
    </row>
    <row r="370" spans="25:25" x14ac:dyDescent="0.35">
      <c r="Y370" s="68"/>
    </row>
    <row r="371" spans="25:25" x14ac:dyDescent="0.35">
      <c r="Y371" s="68"/>
    </row>
    <row r="372" spans="25:25" x14ac:dyDescent="0.35">
      <c r="Y372" s="68"/>
    </row>
    <row r="373" spans="25:25" x14ac:dyDescent="0.35">
      <c r="Y373" s="68"/>
    </row>
    <row r="374" spans="25:25" x14ac:dyDescent="0.35">
      <c r="Y374" s="68"/>
    </row>
    <row r="375" spans="25:25" x14ac:dyDescent="0.35">
      <c r="Y375" s="68"/>
    </row>
    <row r="376" spans="25:25" x14ac:dyDescent="0.35">
      <c r="Y376" s="68"/>
    </row>
    <row r="377" spans="25:25" x14ac:dyDescent="0.35">
      <c r="Y377" s="68"/>
    </row>
    <row r="378" spans="25:25" x14ac:dyDescent="0.35">
      <c r="Y378" s="68"/>
    </row>
    <row r="379" spans="25:25" x14ac:dyDescent="0.35">
      <c r="Y379" s="68"/>
    </row>
    <row r="380" spans="25:25" x14ac:dyDescent="0.35">
      <c r="Y380" s="68"/>
    </row>
    <row r="381" spans="25:25" x14ac:dyDescent="0.35">
      <c r="Y381" s="68"/>
    </row>
    <row r="382" spans="25:25" x14ac:dyDescent="0.35">
      <c r="Y382" s="68"/>
    </row>
    <row r="383" spans="25:25" x14ac:dyDescent="0.35">
      <c r="Y383" s="68"/>
    </row>
    <row r="384" spans="25:25" x14ac:dyDescent="0.35">
      <c r="Y384" s="68"/>
    </row>
    <row r="385" spans="25:25" x14ac:dyDescent="0.35">
      <c r="Y385" s="68"/>
    </row>
    <row r="386" spans="25:25" x14ac:dyDescent="0.35">
      <c r="Y386" s="68"/>
    </row>
    <row r="387" spans="25:25" x14ac:dyDescent="0.35">
      <c r="Y387" s="68"/>
    </row>
    <row r="388" spans="25:25" x14ac:dyDescent="0.35">
      <c r="Y388" s="68"/>
    </row>
    <row r="389" spans="25:25" x14ac:dyDescent="0.35">
      <c r="Y389" s="68"/>
    </row>
    <row r="390" spans="25:25" x14ac:dyDescent="0.35">
      <c r="Y390" s="68"/>
    </row>
    <row r="391" spans="25:25" x14ac:dyDescent="0.35">
      <c r="Y391" s="68"/>
    </row>
    <row r="392" spans="25:25" x14ac:dyDescent="0.35">
      <c r="Y392" s="68"/>
    </row>
    <row r="393" spans="25:25" x14ac:dyDescent="0.35">
      <c r="Y393" s="68"/>
    </row>
    <row r="394" spans="25:25" x14ac:dyDescent="0.35">
      <c r="Y394" s="68"/>
    </row>
    <row r="395" spans="25:25" x14ac:dyDescent="0.35">
      <c r="Y395" s="68"/>
    </row>
    <row r="396" spans="25:25" x14ac:dyDescent="0.35">
      <c r="Y396" s="68"/>
    </row>
    <row r="397" spans="25:25" x14ac:dyDescent="0.35">
      <c r="Y397" s="68"/>
    </row>
    <row r="398" spans="25:25" x14ac:dyDescent="0.35">
      <c r="Y398" s="68"/>
    </row>
    <row r="399" spans="25:25" x14ac:dyDescent="0.35">
      <c r="Y399" s="68"/>
    </row>
    <row r="400" spans="25:25" x14ac:dyDescent="0.35">
      <c r="Y400" s="68"/>
    </row>
    <row r="401" spans="25:25" x14ac:dyDescent="0.35">
      <c r="Y401" s="68"/>
    </row>
    <row r="402" spans="25:25" x14ac:dyDescent="0.35">
      <c r="Y402" s="68"/>
    </row>
    <row r="403" spans="25:25" x14ac:dyDescent="0.35">
      <c r="Y403" s="68"/>
    </row>
    <row r="404" spans="25:25" x14ac:dyDescent="0.35">
      <c r="Y404" s="68"/>
    </row>
    <row r="405" spans="25:25" x14ac:dyDescent="0.35">
      <c r="Y405" s="68"/>
    </row>
    <row r="406" spans="25:25" x14ac:dyDescent="0.35">
      <c r="Y406" s="68"/>
    </row>
    <row r="407" spans="25:25" x14ac:dyDescent="0.35">
      <c r="Y407" s="68"/>
    </row>
    <row r="408" spans="25:25" x14ac:dyDescent="0.35">
      <c r="Y408" s="68"/>
    </row>
    <row r="409" spans="25:25" x14ac:dyDescent="0.35">
      <c r="Y409" s="68"/>
    </row>
    <row r="410" spans="25:25" x14ac:dyDescent="0.35">
      <c r="Y410" s="68"/>
    </row>
    <row r="411" spans="25:25" x14ac:dyDescent="0.35">
      <c r="Y411" s="68"/>
    </row>
    <row r="412" spans="25:25" x14ac:dyDescent="0.35">
      <c r="Y412" s="68"/>
    </row>
    <row r="413" spans="25:25" x14ac:dyDescent="0.35">
      <c r="Y413" s="68"/>
    </row>
    <row r="414" spans="25:25" x14ac:dyDescent="0.35">
      <c r="Y414" s="68"/>
    </row>
    <row r="415" spans="25:25" x14ac:dyDescent="0.35">
      <c r="Y415" s="68"/>
    </row>
    <row r="416" spans="25:25" x14ac:dyDescent="0.35">
      <c r="Y416" s="68"/>
    </row>
    <row r="417" spans="25:25" x14ac:dyDescent="0.35">
      <c r="Y417" s="68"/>
    </row>
    <row r="418" spans="25:25" x14ac:dyDescent="0.35">
      <c r="Y418" s="68"/>
    </row>
    <row r="419" spans="25:25" x14ac:dyDescent="0.35">
      <c r="Y419" s="68"/>
    </row>
    <row r="420" spans="25:25" x14ac:dyDescent="0.35">
      <c r="Y420" s="68"/>
    </row>
    <row r="421" spans="25:25" x14ac:dyDescent="0.35">
      <c r="Y421" s="68"/>
    </row>
    <row r="422" spans="25:25" x14ac:dyDescent="0.35">
      <c r="Y422" s="68"/>
    </row>
    <row r="423" spans="25:25" x14ac:dyDescent="0.35">
      <c r="Y423" s="68"/>
    </row>
    <row r="424" spans="25:25" x14ac:dyDescent="0.35">
      <c r="Y424" s="68"/>
    </row>
    <row r="425" spans="25:25" x14ac:dyDescent="0.35">
      <c r="Y425" s="68"/>
    </row>
    <row r="426" spans="25:25" x14ac:dyDescent="0.35">
      <c r="Y426" s="68"/>
    </row>
    <row r="427" spans="25:25" x14ac:dyDescent="0.35">
      <c r="Y427" s="68"/>
    </row>
    <row r="428" spans="25:25" x14ac:dyDescent="0.35">
      <c r="Y428" s="68"/>
    </row>
    <row r="429" spans="25:25" x14ac:dyDescent="0.35">
      <c r="Y429" s="68"/>
    </row>
    <row r="430" spans="25:25" x14ac:dyDescent="0.35">
      <c r="Y430" s="68"/>
    </row>
    <row r="431" spans="25:25" x14ac:dyDescent="0.35">
      <c r="Y431" s="68"/>
    </row>
    <row r="432" spans="25:25" x14ac:dyDescent="0.35">
      <c r="Y432" s="68"/>
    </row>
    <row r="433" spans="25:25" x14ac:dyDescent="0.35">
      <c r="Y433" s="68"/>
    </row>
    <row r="434" spans="25:25" x14ac:dyDescent="0.35">
      <c r="Y434" s="68"/>
    </row>
    <row r="435" spans="25:25" x14ac:dyDescent="0.35">
      <c r="Y435" s="68"/>
    </row>
    <row r="436" spans="25:25" x14ac:dyDescent="0.35">
      <c r="Y436" s="68"/>
    </row>
    <row r="437" spans="25:25" x14ac:dyDescent="0.35">
      <c r="Y437" s="68"/>
    </row>
    <row r="438" spans="25:25" x14ac:dyDescent="0.35">
      <c r="Y438" s="68"/>
    </row>
    <row r="439" spans="25:25" x14ac:dyDescent="0.35">
      <c r="Y439" s="68"/>
    </row>
    <row r="440" spans="25:25" x14ac:dyDescent="0.35">
      <c r="Y440" s="68"/>
    </row>
    <row r="441" spans="25:25" x14ac:dyDescent="0.35">
      <c r="Y441" s="68"/>
    </row>
    <row r="442" spans="25:25" x14ac:dyDescent="0.35">
      <c r="Y442" s="68"/>
    </row>
    <row r="443" spans="25:25" x14ac:dyDescent="0.35">
      <c r="Y443" s="68"/>
    </row>
    <row r="444" spans="25:25" x14ac:dyDescent="0.35">
      <c r="Y444" s="68"/>
    </row>
    <row r="445" spans="25:25" x14ac:dyDescent="0.35">
      <c r="Y445" s="68"/>
    </row>
    <row r="446" spans="25:25" x14ac:dyDescent="0.35">
      <c r="Y446" s="68"/>
    </row>
    <row r="447" spans="25:25" x14ac:dyDescent="0.35">
      <c r="Y447" s="68"/>
    </row>
    <row r="448" spans="25:25" x14ac:dyDescent="0.35">
      <c r="Y448" s="68"/>
    </row>
    <row r="449" spans="25:25" x14ac:dyDescent="0.35">
      <c r="Y449" s="68"/>
    </row>
    <row r="450" spans="25:25" x14ac:dyDescent="0.35">
      <c r="Y450" s="68"/>
    </row>
    <row r="451" spans="25:25" x14ac:dyDescent="0.35">
      <c r="Y451" s="68"/>
    </row>
    <row r="452" spans="25:25" x14ac:dyDescent="0.35">
      <c r="Y452" s="68"/>
    </row>
    <row r="453" spans="25:25" x14ac:dyDescent="0.35">
      <c r="Y453" s="68"/>
    </row>
    <row r="454" spans="25:25" x14ac:dyDescent="0.35">
      <c r="Y454" s="68"/>
    </row>
    <row r="455" spans="25:25" x14ac:dyDescent="0.35">
      <c r="Y455" s="68"/>
    </row>
    <row r="456" spans="25:25" x14ac:dyDescent="0.35">
      <c r="Y456" s="68"/>
    </row>
    <row r="457" spans="25:25" x14ac:dyDescent="0.35">
      <c r="Y457" s="68"/>
    </row>
    <row r="458" spans="25:25" x14ac:dyDescent="0.35">
      <c r="Y458" s="68"/>
    </row>
    <row r="459" spans="25:25" x14ac:dyDescent="0.35">
      <c r="Y459" s="68"/>
    </row>
    <row r="460" spans="25:25" x14ac:dyDescent="0.35">
      <c r="Y460" s="68"/>
    </row>
    <row r="461" spans="25:25" x14ac:dyDescent="0.35">
      <c r="Y461" s="68"/>
    </row>
    <row r="462" spans="25:25" x14ac:dyDescent="0.35">
      <c r="Y462" s="68"/>
    </row>
    <row r="463" spans="25:25" x14ac:dyDescent="0.35">
      <c r="Y463" s="68"/>
    </row>
    <row r="464" spans="25:25" x14ac:dyDescent="0.35">
      <c r="Y464" s="68"/>
    </row>
    <row r="465" spans="25:25" x14ac:dyDescent="0.35">
      <c r="Y465" s="68"/>
    </row>
    <row r="466" spans="25:25" x14ac:dyDescent="0.35">
      <c r="Y466" s="68"/>
    </row>
    <row r="467" spans="25:25" x14ac:dyDescent="0.35">
      <c r="Y467" s="68"/>
    </row>
    <row r="468" spans="25:25" x14ac:dyDescent="0.35">
      <c r="Y468" s="68"/>
    </row>
    <row r="469" spans="25:25" x14ac:dyDescent="0.35">
      <c r="Y469" s="68"/>
    </row>
    <row r="470" spans="25:25" x14ac:dyDescent="0.35">
      <c r="Y470" s="68"/>
    </row>
    <row r="471" spans="25:25" x14ac:dyDescent="0.35">
      <c r="Y471" s="68"/>
    </row>
    <row r="472" spans="25:25" x14ac:dyDescent="0.35">
      <c r="Y472" s="68"/>
    </row>
    <row r="473" spans="25:25" x14ac:dyDescent="0.35">
      <c r="Y473" s="68"/>
    </row>
    <row r="474" spans="25:25" x14ac:dyDescent="0.35">
      <c r="Y474" s="68"/>
    </row>
    <row r="475" spans="25:25" x14ac:dyDescent="0.35">
      <c r="Y475" s="68"/>
    </row>
    <row r="476" spans="25:25" x14ac:dyDescent="0.35">
      <c r="Y476" s="68"/>
    </row>
    <row r="477" spans="25:25" x14ac:dyDescent="0.35">
      <c r="Y477" s="68"/>
    </row>
    <row r="478" spans="25:25" x14ac:dyDescent="0.35">
      <c r="Y478" s="68"/>
    </row>
    <row r="479" spans="25:25" x14ac:dyDescent="0.35">
      <c r="Y479" s="68"/>
    </row>
    <row r="480" spans="25:25" x14ac:dyDescent="0.35">
      <c r="Y480" s="68"/>
    </row>
    <row r="481" spans="25:25" x14ac:dyDescent="0.35">
      <c r="Y481" s="68"/>
    </row>
    <row r="482" spans="25:25" x14ac:dyDescent="0.35">
      <c r="Y482" s="68"/>
    </row>
    <row r="483" spans="25:25" x14ac:dyDescent="0.35">
      <c r="Y483" s="68"/>
    </row>
    <row r="484" spans="25:25" x14ac:dyDescent="0.35">
      <c r="Y484" s="68"/>
    </row>
    <row r="485" spans="25:25" x14ac:dyDescent="0.35">
      <c r="Y485" s="68"/>
    </row>
    <row r="486" spans="25:25" x14ac:dyDescent="0.35">
      <c r="Y486" s="68"/>
    </row>
    <row r="487" spans="25:25" x14ac:dyDescent="0.35">
      <c r="Y487" s="68"/>
    </row>
    <row r="488" spans="25:25" x14ac:dyDescent="0.35">
      <c r="Y488" s="68"/>
    </row>
    <row r="489" spans="25:25" x14ac:dyDescent="0.35">
      <c r="Y489" s="68"/>
    </row>
    <row r="490" spans="25:25" x14ac:dyDescent="0.35">
      <c r="Y490" s="68"/>
    </row>
    <row r="491" spans="25:25" x14ac:dyDescent="0.35">
      <c r="Y491" s="68"/>
    </row>
    <row r="492" spans="25:25" x14ac:dyDescent="0.35">
      <c r="Y492" s="68"/>
    </row>
    <row r="493" spans="25:25" x14ac:dyDescent="0.35">
      <c r="Y493" s="68"/>
    </row>
    <row r="494" spans="25:25" x14ac:dyDescent="0.35">
      <c r="Y494" s="68"/>
    </row>
    <row r="495" spans="25:25" x14ac:dyDescent="0.35">
      <c r="Y495" s="68"/>
    </row>
    <row r="496" spans="25:25" x14ac:dyDescent="0.35">
      <c r="Y496" s="68"/>
    </row>
    <row r="497" spans="25:25" x14ac:dyDescent="0.35">
      <c r="Y497" s="68"/>
    </row>
    <row r="498" spans="25:25" x14ac:dyDescent="0.35">
      <c r="Y498" s="68"/>
    </row>
    <row r="499" spans="25:25" x14ac:dyDescent="0.35">
      <c r="Y499" s="68"/>
    </row>
    <row r="500" spans="25:25" x14ac:dyDescent="0.35">
      <c r="Y500" s="68"/>
    </row>
    <row r="501" spans="25:25" x14ac:dyDescent="0.35">
      <c r="Y501" s="68"/>
    </row>
    <row r="502" spans="25:25" x14ac:dyDescent="0.35">
      <c r="Y502" s="68"/>
    </row>
    <row r="503" spans="25:25" x14ac:dyDescent="0.35">
      <c r="Y503" s="68"/>
    </row>
    <row r="504" spans="25:25" x14ac:dyDescent="0.35">
      <c r="Y504" s="68"/>
    </row>
    <row r="505" spans="25:25" x14ac:dyDescent="0.35">
      <c r="Y505" s="68"/>
    </row>
    <row r="506" spans="25:25" x14ac:dyDescent="0.35">
      <c r="Y506" s="68"/>
    </row>
    <row r="507" spans="25:25" x14ac:dyDescent="0.35">
      <c r="Y507" s="68"/>
    </row>
    <row r="508" spans="25:25" x14ac:dyDescent="0.35">
      <c r="Y508" s="68"/>
    </row>
    <row r="509" spans="25:25" x14ac:dyDescent="0.35">
      <c r="Y509" s="68"/>
    </row>
    <row r="510" spans="25:25" x14ac:dyDescent="0.35">
      <c r="Y510" s="68"/>
    </row>
    <row r="511" spans="25:25" x14ac:dyDescent="0.35">
      <c r="Y511" s="68"/>
    </row>
    <row r="512" spans="25:25" x14ac:dyDescent="0.35">
      <c r="Y512" s="68"/>
    </row>
    <row r="513" spans="25:25" x14ac:dyDescent="0.35">
      <c r="Y513" s="68"/>
    </row>
    <row r="514" spans="25:25" x14ac:dyDescent="0.35">
      <c r="Y514" s="68"/>
    </row>
    <row r="515" spans="25:25" x14ac:dyDescent="0.35">
      <c r="Y515" s="68"/>
    </row>
    <row r="516" spans="25:25" x14ac:dyDescent="0.35">
      <c r="Y516" s="68"/>
    </row>
    <row r="517" spans="25:25" x14ac:dyDescent="0.35">
      <c r="Y517" s="68"/>
    </row>
    <row r="518" spans="25:25" x14ac:dyDescent="0.35">
      <c r="Y518" s="68"/>
    </row>
    <row r="519" spans="25:25" x14ac:dyDescent="0.35">
      <c r="Y519" s="68"/>
    </row>
    <row r="520" spans="25:25" x14ac:dyDescent="0.35">
      <c r="Y520" s="68"/>
    </row>
    <row r="521" spans="25:25" x14ac:dyDescent="0.35">
      <c r="Y521" s="68"/>
    </row>
    <row r="522" spans="25:25" x14ac:dyDescent="0.35">
      <c r="Y522" s="68"/>
    </row>
    <row r="523" spans="25:25" x14ac:dyDescent="0.35">
      <c r="Y523" s="68"/>
    </row>
    <row r="524" spans="25:25" x14ac:dyDescent="0.35">
      <c r="Y524" s="68"/>
    </row>
    <row r="525" spans="25:25" x14ac:dyDescent="0.35">
      <c r="Y525" s="68"/>
    </row>
    <row r="526" spans="25:25" x14ac:dyDescent="0.35">
      <c r="Y526" s="68"/>
    </row>
    <row r="527" spans="25:25" x14ac:dyDescent="0.35">
      <c r="Y527" s="68"/>
    </row>
    <row r="528" spans="25:25" x14ac:dyDescent="0.35">
      <c r="Y528" s="68"/>
    </row>
    <row r="529" spans="25:25" x14ac:dyDescent="0.35">
      <c r="Y529" s="68"/>
    </row>
    <row r="530" spans="25:25" x14ac:dyDescent="0.35">
      <c r="Y530" s="68"/>
    </row>
    <row r="531" spans="25:25" x14ac:dyDescent="0.35">
      <c r="Y531" s="68"/>
    </row>
    <row r="532" spans="25:25" x14ac:dyDescent="0.35">
      <c r="Y532" s="68"/>
    </row>
    <row r="533" spans="25:25" x14ac:dyDescent="0.35">
      <c r="Y533" s="68"/>
    </row>
    <row r="534" spans="25:25" x14ac:dyDescent="0.35">
      <c r="Y534" s="68"/>
    </row>
    <row r="535" spans="25:25" x14ac:dyDescent="0.35">
      <c r="Y535" s="68"/>
    </row>
    <row r="536" spans="25:25" x14ac:dyDescent="0.35">
      <c r="Y536" s="68"/>
    </row>
    <row r="537" spans="25:25" x14ac:dyDescent="0.35">
      <c r="Y537" s="68"/>
    </row>
    <row r="538" spans="25:25" x14ac:dyDescent="0.35">
      <c r="Y538" s="68"/>
    </row>
    <row r="539" spans="25:25" x14ac:dyDescent="0.35">
      <c r="Y539" s="68"/>
    </row>
    <row r="540" spans="25:25" x14ac:dyDescent="0.35">
      <c r="Y540" s="68"/>
    </row>
    <row r="541" spans="25:25" x14ac:dyDescent="0.35">
      <c r="Y541" s="68"/>
    </row>
    <row r="542" spans="25:25" x14ac:dyDescent="0.35">
      <c r="Y542" s="68"/>
    </row>
    <row r="543" spans="25:25" x14ac:dyDescent="0.35">
      <c r="Y543" s="68"/>
    </row>
    <row r="544" spans="25:25" x14ac:dyDescent="0.35">
      <c r="Y544" s="68"/>
    </row>
    <row r="545" spans="25:25" x14ac:dyDescent="0.35">
      <c r="Y545" s="68"/>
    </row>
    <row r="546" spans="25:25" x14ac:dyDescent="0.35">
      <c r="Y546" s="68"/>
    </row>
    <row r="547" spans="25:25" x14ac:dyDescent="0.35">
      <c r="Y547" s="68"/>
    </row>
    <row r="548" spans="25:25" x14ac:dyDescent="0.35">
      <c r="Y548" s="68"/>
    </row>
    <row r="549" spans="25:25" x14ac:dyDescent="0.35">
      <c r="Y549" s="68"/>
    </row>
    <row r="550" spans="25:25" x14ac:dyDescent="0.35">
      <c r="Y550" s="68"/>
    </row>
    <row r="551" spans="25:25" x14ac:dyDescent="0.35">
      <c r="Y551" s="68"/>
    </row>
    <row r="552" spans="25:25" x14ac:dyDescent="0.35">
      <c r="Y552" s="68"/>
    </row>
    <row r="553" spans="25:25" x14ac:dyDescent="0.35">
      <c r="Y553" s="68"/>
    </row>
    <row r="554" spans="25:25" x14ac:dyDescent="0.35">
      <c r="Y554" s="68"/>
    </row>
    <row r="555" spans="25:25" x14ac:dyDescent="0.35">
      <c r="Y555" s="68"/>
    </row>
    <row r="556" spans="25:25" x14ac:dyDescent="0.35">
      <c r="Y556" s="68"/>
    </row>
    <row r="557" spans="25:25" x14ac:dyDescent="0.35">
      <c r="Y557" s="68"/>
    </row>
    <row r="558" spans="25:25" x14ac:dyDescent="0.35">
      <c r="Y558" s="68"/>
    </row>
    <row r="559" spans="25:25" x14ac:dyDescent="0.35">
      <c r="Y559" s="68"/>
    </row>
    <row r="560" spans="25:25" x14ac:dyDescent="0.35">
      <c r="Y560" s="68"/>
    </row>
    <row r="561" spans="25:25" x14ac:dyDescent="0.35">
      <c r="Y561" s="68"/>
    </row>
    <row r="562" spans="25:25" x14ac:dyDescent="0.35">
      <c r="Y562" s="68"/>
    </row>
    <row r="563" spans="25:25" x14ac:dyDescent="0.35">
      <c r="Y563" s="68"/>
    </row>
    <row r="564" spans="25:25" x14ac:dyDescent="0.35">
      <c r="Y564" s="68"/>
    </row>
    <row r="565" spans="25:25" x14ac:dyDescent="0.35">
      <c r="Y565" s="68"/>
    </row>
    <row r="566" spans="25:25" x14ac:dyDescent="0.35">
      <c r="Y566" s="68"/>
    </row>
    <row r="567" spans="25:25" x14ac:dyDescent="0.35">
      <c r="Y567" s="68"/>
    </row>
    <row r="568" spans="25:25" x14ac:dyDescent="0.35">
      <c r="Y568" s="68"/>
    </row>
    <row r="569" spans="25:25" x14ac:dyDescent="0.35">
      <c r="Y569" s="68"/>
    </row>
    <row r="570" spans="25:25" x14ac:dyDescent="0.35">
      <c r="Y570" s="68"/>
    </row>
    <row r="571" spans="25:25" x14ac:dyDescent="0.35">
      <c r="Y571" s="68"/>
    </row>
    <row r="572" spans="25:25" x14ac:dyDescent="0.35">
      <c r="Y572" s="68"/>
    </row>
    <row r="573" spans="25:25" x14ac:dyDescent="0.35">
      <c r="Y573" s="68"/>
    </row>
    <row r="574" spans="25:25" x14ac:dyDescent="0.35">
      <c r="Y574" s="68"/>
    </row>
    <row r="575" spans="25:25" x14ac:dyDescent="0.35">
      <c r="Y575" s="68"/>
    </row>
    <row r="576" spans="25:25" x14ac:dyDescent="0.35">
      <c r="Y576" s="68"/>
    </row>
    <row r="577" spans="25:25" x14ac:dyDescent="0.35">
      <c r="Y577" s="68"/>
    </row>
    <row r="578" spans="25:25" x14ac:dyDescent="0.35">
      <c r="Y578" s="68"/>
    </row>
    <row r="579" spans="25:25" x14ac:dyDescent="0.35">
      <c r="Y579" s="68"/>
    </row>
    <row r="580" spans="25:25" x14ac:dyDescent="0.35">
      <c r="Y580" s="68"/>
    </row>
    <row r="581" spans="25:25" x14ac:dyDescent="0.35">
      <c r="Y581" s="68"/>
    </row>
    <row r="582" spans="25:25" x14ac:dyDescent="0.35">
      <c r="Y582" s="68"/>
    </row>
    <row r="583" spans="25:25" x14ac:dyDescent="0.35">
      <c r="Y583" s="68"/>
    </row>
    <row r="584" spans="25:25" x14ac:dyDescent="0.35">
      <c r="Y584" s="68"/>
    </row>
    <row r="585" spans="25:25" x14ac:dyDescent="0.35">
      <c r="Y585" s="68"/>
    </row>
    <row r="586" spans="25:25" x14ac:dyDescent="0.35">
      <c r="Y586" s="68"/>
    </row>
    <row r="587" spans="25:25" x14ac:dyDescent="0.35">
      <c r="Y587" s="68"/>
    </row>
    <row r="588" spans="25:25" x14ac:dyDescent="0.35">
      <c r="Y588" s="68"/>
    </row>
    <row r="589" spans="25:25" x14ac:dyDescent="0.35">
      <c r="Y589" s="68"/>
    </row>
    <row r="590" spans="25:25" x14ac:dyDescent="0.35">
      <c r="Y590" s="68"/>
    </row>
    <row r="591" spans="25:25" x14ac:dyDescent="0.35">
      <c r="Y591" s="68"/>
    </row>
    <row r="592" spans="25:25" x14ac:dyDescent="0.35">
      <c r="Y592" s="68"/>
    </row>
    <row r="593" spans="25:25" x14ac:dyDescent="0.35">
      <c r="Y593" s="68"/>
    </row>
    <row r="594" spans="25:25" x14ac:dyDescent="0.35">
      <c r="Y594" s="68"/>
    </row>
    <row r="595" spans="25:25" x14ac:dyDescent="0.35">
      <c r="Y595" s="68"/>
    </row>
    <row r="596" spans="25:25" x14ac:dyDescent="0.35">
      <c r="Y596" s="68"/>
    </row>
    <row r="597" spans="25:25" x14ac:dyDescent="0.35">
      <c r="Y597" s="68"/>
    </row>
    <row r="598" spans="25:25" x14ac:dyDescent="0.35">
      <c r="Y598" s="68"/>
    </row>
    <row r="599" spans="25:25" x14ac:dyDescent="0.35">
      <c r="Y599" s="68"/>
    </row>
    <row r="600" spans="25:25" x14ac:dyDescent="0.35">
      <c r="Y600" s="68"/>
    </row>
    <row r="601" spans="25:25" x14ac:dyDescent="0.35">
      <c r="Y601" s="68"/>
    </row>
    <row r="602" spans="25:25" x14ac:dyDescent="0.35">
      <c r="Y602" s="68"/>
    </row>
    <row r="603" spans="25:25" x14ac:dyDescent="0.35">
      <c r="Y603" s="68"/>
    </row>
    <row r="604" spans="25:25" x14ac:dyDescent="0.35">
      <c r="Y604" s="68"/>
    </row>
    <row r="605" spans="25:25" x14ac:dyDescent="0.35">
      <c r="Y605" s="68"/>
    </row>
    <row r="606" spans="25:25" x14ac:dyDescent="0.35">
      <c r="Y606" s="68"/>
    </row>
    <row r="607" spans="25:25" x14ac:dyDescent="0.35">
      <c r="Y607" s="68"/>
    </row>
    <row r="608" spans="25:25" x14ac:dyDescent="0.35">
      <c r="Y608" s="68"/>
    </row>
    <row r="609" spans="25:25" x14ac:dyDescent="0.35">
      <c r="Y609" s="68"/>
    </row>
    <row r="610" spans="25:25" x14ac:dyDescent="0.35">
      <c r="Y610" s="68"/>
    </row>
    <row r="611" spans="25:25" x14ac:dyDescent="0.35">
      <c r="Y611" s="68"/>
    </row>
    <row r="612" spans="25:25" x14ac:dyDescent="0.35">
      <c r="Y612" s="68"/>
    </row>
    <row r="613" spans="25:25" x14ac:dyDescent="0.35">
      <c r="Y613" s="68"/>
    </row>
    <row r="614" spans="25:25" x14ac:dyDescent="0.35">
      <c r="Y614" s="68"/>
    </row>
    <row r="615" spans="25:25" x14ac:dyDescent="0.35">
      <c r="Y615" s="68"/>
    </row>
    <row r="616" spans="25:25" x14ac:dyDescent="0.35">
      <c r="Y616" s="68"/>
    </row>
    <row r="617" spans="25:25" x14ac:dyDescent="0.35">
      <c r="Y617" s="68"/>
    </row>
    <row r="618" spans="25:25" x14ac:dyDescent="0.35">
      <c r="Y618" s="68"/>
    </row>
    <row r="619" spans="25:25" x14ac:dyDescent="0.35">
      <c r="Y619" s="68"/>
    </row>
    <row r="620" spans="25:25" x14ac:dyDescent="0.35">
      <c r="Y620" s="68"/>
    </row>
    <row r="621" spans="25:25" x14ac:dyDescent="0.35">
      <c r="Y621" s="68"/>
    </row>
    <row r="622" spans="25:25" x14ac:dyDescent="0.35">
      <c r="Y622" s="68"/>
    </row>
    <row r="623" spans="25:25" x14ac:dyDescent="0.35">
      <c r="Y623" s="68"/>
    </row>
    <row r="624" spans="25:25" x14ac:dyDescent="0.35">
      <c r="Y624" s="68"/>
    </row>
    <row r="625" spans="25:25" x14ac:dyDescent="0.35">
      <c r="Y625" s="68"/>
    </row>
    <row r="626" spans="25:25" x14ac:dyDescent="0.35">
      <c r="Y626" s="68"/>
    </row>
    <row r="627" spans="25:25" x14ac:dyDescent="0.35">
      <c r="Y627" s="68"/>
    </row>
    <row r="628" spans="25:25" x14ac:dyDescent="0.35">
      <c r="Y628" s="68"/>
    </row>
    <row r="629" spans="25:25" x14ac:dyDescent="0.35">
      <c r="Y629" s="68"/>
    </row>
    <row r="630" spans="25:25" x14ac:dyDescent="0.35">
      <c r="Y630" s="68"/>
    </row>
    <row r="631" spans="25:25" x14ac:dyDescent="0.35">
      <c r="Y631" s="68"/>
    </row>
    <row r="632" spans="25:25" x14ac:dyDescent="0.35">
      <c r="Y632" s="68"/>
    </row>
    <row r="633" spans="25:25" x14ac:dyDescent="0.35">
      <c r="Y633" s="68"/>
    </row>
    <row r="634" spans="25:25" x14ac:dyDescent="0.35">
      <c r="Y634" s="68"/>
    </row>
    <row r="635" spans="25:25" x14ac:dyDescent="0.35">
      <c r="Y635" s="68"/>
    </row>
    <row r="636" spans="25:25" x14ac:dyDescent="0.35">
      <c r="Y636" s="68"/>
    </row>
    <row r="637" spans="25:25" x14ac:dyDescent="0.35">
      <c r="Y637" s="68"/>
    </row>
    <row r="638" spans="25:25" x14ac:dyDescent="0.35">
      <c r="Y638" s="68"/>
    </row>
    <row r="639" spans="25:25" x14ac:dyDescent="0.35">
      <c r="Y639" s="68"/>
    </row>
    <row r="640" spans="25:25" x14ac:dyDescent="0.35">
      <c r="Y640" s="68"/>
    </row>
    <row r="641" spans="25:25" x14ac:dyDescent="0.35">
      <c r="Y641" s="68"/>
    </row>
    <row r="642" spans="25:25" x14ac:dyDescent="0.35">
      <c r="Y642" s="68"/>
    </row>
    <row r="643" spans="25:25" x14ac:dyDescent="0.35">
      <c r="Y643" s="68"/>
    </row>
    <row r="644" spans="25:25" x14ac:dyDescent="0.35">
      <c r="Y644" s="68"/>
    </row>
    <row r="645" spans="25:25" x14ac:dyDescent="0.35">
      <c r="Y645" s="68"/>
    </row>
    <row r="646" spans="25:25" x14ac:dyDescent="0.35">
      <c r="Y646" s="68"/>
    </row>
    <row r="647" spans="25:25" x14ac:dyDescent="0.35">
      <c r="Y647" s="68"/>
    </row>
    <row r="648" spans="25:25" x14ac:dyDescent="0.35">
      <c r="Y648" s="68"/>
    </row>
    <row r="649" spans="25:25" x14ac:dyDescent="0.35">
      <c r="Y649" s="68"/>
    </row>
    <row r="650" spans="25:25" x14ac:dyDescent="0.35">
      <c r="Y650" s="68"/>
    </row>
    <row r="651" spans="25:25" x14ac:dyDescent="0.35">
      <c r="Y651" s="68"/>
    </row>
    <row r="652" spans="25:25" x14ac:dyDescent="0.35">
      <c r="Y652" s="68"/>
    </row>
    <row r="653" spans="25:25" x14ac:dyDescent="0.35">
      <c r="Y653" s="68"/>
    </row>
    <row r="654" spans="25:25" x14ac:dyDescent="0.35">
      <c r="Y654" s="68"/>
    </row>
    <row r="655" spans="25:25" x14ac:dyDescent="0.35">
      <c r="Y655" s="68"/>
    </row>
    <row r="656" spans="25:25" x14ac:dyDescent="0.35">
      <c r="Y656" s="68"/>
    </row>
    <row r="657" spans="25:25" x14ac:dyDescent="0.35">
      <c r="Y657" s="68"/>
    </row>
    <row r="658" spans="25:25" x14ac:dyDescent="0.35">
      <c r="Y658" s="68"/>
    </row>
    <row r="659" spans="25:25" x14ac:dyDescent="0.35">
      <c r="Y659" s="68"/>
    </row>
    <row r="660" spans="25:25" x14ac:dyDescent="0.35">
      <c r="Y660" s="68"/>
    </row>
    <row r="661" spans="25:25" x14ac:dyDescent="0.35">
      <c r="Y661" s="68"/>
    </row>
    <row r="662" spans="25:25" x14ac:dyDescent="0.35">
      <c r="Y662" s="68"/>
    </row>
    <row r="663" spans="25:25" x14ac:dyDescent="0.35">
      <c r="Y663" s="68"/>
    </row>
    <row r="664" spans="25:25" x14ac:dyDescent="0.35">
      <c r="Y664" s="68"/>
    </row>
    <row r="665" spans="25:25" x14ac:dyDescent="0.35">
      <c r="Y665" s="68"/>
    </row>
    <row r="666" spans="25:25" x14ac:dyDescent="0.35">
      <c r="Y666" s="68"/>
    </row>
    <row r="667" spans="25:25" x14ac:dyDescent="0.35">
      <c r="Y667" s="68"/>
    </row>
    <row r="668" spans="25:25" x14ac:dyDescent="0.35">
      <c r="Y668" s="68"/>
    </row>
    <row r="669" spans="25:25" x14ac:dyDescent="0.35">
      <c r="Y669" s="68"/>
    </row>
    <row r="670" spans="25:25" x14ac:dyDescent="0.35">
      <c r="Y670" s="68"/>
    </row>
    <row r="671" spans="25:25" x14ac:dyDescent="0.35">
      <c r="Y671" s="68"/>
    </row>
    <row r="672" spans="25:25" x14ac:dyDescent="0.35">
      <c r="Y672" s="68"/>
    </row>
    <row r="673" spans="25:25" x14ac:dyDescent="0.35">
      <c r="Y673" s="68"/>
    </row>
    <row r="674" spans="25:25" x14ac:dyDescent="0.35">
      <c r="Y674" s="68"/>
    </row>
    <row r="675" spans="25:25" x14ac:dyDescent="0.35">
      <c r="Y675" s="68"/>
    </row>
    <row r="676" spans="25:25" x14ac:dyDescent="0.35">
      <c r="Y676" s="68"/>
    </row>
    <row r="677" spans="25:25" x14ac:dyDescent="0.35">
      <c r="Y677" s="68"/>
    </row>
    <row r="678" spans="25:25" x14ac:dyDescent="0.35">
      <c r="Y678" s="68"/>
    </row>
    <row r="679" spans="25:25" x14ac:dyDescent="0.35">
      <c r="Y679" s="68"/>
    </row>
    <row r="680" spans="25:25" x14ac:dyDescent="0.35">
      <c r="Y680" s="68"/>
    </row>
    <row r="681" spans="25:25" x14ac:dyDescent="0.35">
      <c r="Y681" s="68"/>
    </row>
    <row r="682" spans="25:25" x14ac:dyDescent="0.35">
      <c r="Y682" s="68"/>
    </row>
    <row r="683" spans="25:25" x14ac:dyDescent="0.35">
      <c r="Y683" s="68"/>
    </row>
    <row r="684" spans="25:25" x14ac:dyDescent="0.35">
      <c r="Y684" s="68"/>
    </row>
    <row r="685" spans="25:25" x14ac:dyDescent="0.35">
      <c r="Y685" s="68"/>
    </row>
    <row r="686" spans="25:25" x14ac:dyDescent="0.35">
      <c r="Y686" s="68"/>
    </row>
    <row r="687" spans="25:25" x14ac:dyDescent="0.35">
      <c r="Y687" s="68"/>
    </row>
    <row r="688" spans="25:25" x14ac:dyDescent="0.35">
      <c r="Y688" s="68"/>
    </row>
    <row r="689" spans="25:25" x14ac:dyDescent="0.35">
      <c r="Y689" s="68"/>
    </row>
    <row r="690" spans="25:25" x14ac:dyDescent="0.35">
      <c r="Y690" s="68"/>
    </row>
    <row r="691" spans="25:25" x14ac:dyDescent="0.35">
      <c r="Y691" s="68"/>
    </row>
    <row r="692" spans="25:25" x14ac:dyDescent="0.35">
      <c r="Y692" s="68"/>
    </row>
    <row r="693" spans="25:25" x14ac:dyDescent="0.35">
      <c r="Y693" s="68"/>
    </row>
    <row r="694" spans="25:25" x14ac:dyDescent="0.35">
      <c r="Y694" s="68"/>
    </row>
    <row r="695" spans="25:25" x14ac:dyDescent="0.35">
      <c r="Y695" s="68"/>
    </row>
    <row r="696" spans="25:25" x14ac:dyDescent="0.35">
      <c r="Y696" s="68"/>
    </row>
    <row r="697" spans="25:25" x14ac:dyDescent="0.35">
      <c r="Y697" s="68"/>
    </row>
    <row r="698" spans="25:25" x14ac:dyDescent="0.35">
      <c r="Y698" s="68"/>
    </row>
    <row r="699" spans="25:25" x14ac:dyDescent="0.35">
      <c r="Y699" s="68"/>
    </row>
    <row r="700" spans="25:25" x14ac:dyDescent="0.35">
      <c r="Y700" s="68"/>
    </row>
    <row r="701" spans="25:25" x14ac:dyDescent="0.35">
      <c r="Y701" s="68"/>
    </row>
    <row r="702" spans="25:25" x14ac:dyDescent="0.35">
      <c r="Y702" s="68"/>
    </row>
    <row r="703" spans="25:25" x14ac:dyDescent="0.35">
      <c r="Y703" s="68"/>
    </row>
    <row r="704" spans="25:25" x14ac:dyDescent="0.35">
      <c r="Y704" s="68"/>
    </row>
    <row r="705" spans="25:25" x14ac:dyDescent="0.35">
      <c r="Y705" s="68"/>
    </row>
    <row r="706" spans="25:25" x14ac:dyDescent="0.35">
      <c r="Y706" s="68"/>
    </row>
    <row r="707" spans="25:25" x14ac:dyDescent="0.35">
      <c r="Y707" s="68"/>
    </row>
  </sheetData>
  <mergeCells count="36">
    <mergeCell ref="AG9:AM9"/>
    <mergeCell ref="U4:W4"/>
    <mergeCell ref="Z9:AF9"/>
    <mergeCell ref="A1:E2"/>
    <mergeCell ref="DM9:DS9"/>
    <mergeCell ref="AN9:AT9"/>
    <mergeCell ref="AU9:BA9"/>
    <mergeCell ref="BB9:BH9"/>
    <mergeCell ref="BI9:BO9"/>
    <mergeCell ref="BP9:BV9"/>
    <mergeCell ref="BW9:CC9"/>
    <mergeCell ref="CD9:CJ9"/>
    <mergeCell ref="CK9:CQ9"/>
    <mergeCell ref="CR9:CX9"/>
    <mergeCell ref="CY9:DE9"/>
    <mergeCell ref="DF9:DL9"/>
    <mergeCell ref="GS9:GY9"/>
    <mergeCell ref="DT9:DZ9"/>
    <mergeCell ref="EA9:EG9"/>
    <mergeCell ref="EH9:EN9"/>
    <mergeCell ref="EO9:EU9"/>
    <mergeCell ref="EV9:FB9"/>
    <mergeCell ref="FC9:FI9"/>
    <mergeCell ref="FJ9:FP9"/>
    <mergeCell ref="FQ9:FW9"/>
    <mergeCell ref="FX9:GD9"/>
    <mergeCell ref="GE9:GK9"/>
    <mergeCell ref="GL9:GR9"/>
    <mergeCell ref="IP9:IV9"/>
    <mergeCell ref="IW9:JC9"/>
    <mergeCell ref="GZ9:HF9"/>
    <mergeCell ref="HG9:HM9"/>
    <mergeCell ref="HN9:HT9"/>
    <mergeCell ref="HU9:IA9"/>
    <mergeCell ref="IB9:IH9"/>
    <mergeCell ref="II9:IO9"/>
  </mergeCells>
  <phoneticPr fontId="35" type="noConversion"/>
  <conditionalFormatting sqref="S100:S106">
    <cfRule type="iconSet" priority="386">
      <iconSet iconSet="5Rating" showValue="0">
        <cfvo type="percent" val="0"/>
        <cfvo type="num" val="1"/>
        <cfvo type="num" val="2"/>
        <cfvo type="num" val="3"/>
        <cfvo type="num" val="4"/>
      </iconSet>
    </cfRule>
  </conditionalFormatting>
  <conditionalFormatting sqref="X16 X12:Y14 Y26:Y27 Y29:Y30 Y36 Y15:Y24 Y33:Y34">
    <cfRule type="expression" dxfId="21" priority="346" stopIfTrue="1">
      <formula>X$8=$U$4</formula>
    </cfRule>
  </conditionalFormatting>
  <conditionalFormatting sqref="U11:X11">
    <cfRule type="expression" dxfId="20" priority="338" stopIfTrue="1">
      <formula>U$8=$U$4</formula>
    </cfRule>
  </conditionalFormatting>
  <conditionalFormatting sqref="X15">
    <cfRule type="expression" dxfId="19" priority="212" stopIfTrue="1">
      <formula>X$8=$U$4</formula>
    </cfRule>
  </conditionalFormatting>
  <conditionalFormatting sqref="X17">
    <cfRule type="expression" dxfId="18" priority="194" stopIfTrue="1">
      <formula>X$8=$U$4</formula>
    </cfRule>
  </conditionalFormatting>
  <conditionalFormatting sqref="P17">
    <cfRule type="iconSet" priority="196">
      <iconSet iconSet="5Rating" showValue="0">
        <cfvo type="percent" val="0"/>
        <cfvo type="num" val="1"/>
        <cfvo type="num" val="2"/>
        <cfvo type="num" val="3"/>
        <cfvo type="num" val="4"/>
      </iconSet>
    </cfRule>
  </conditionalFormatting>
  <conditionalFormatting sqref="Z11:IZ23 JC12:JC23 CO24:CY24 Z25:IZ32 JC25:JC32 Z33:IY34 Z35:IZ36">
    <cfRule type="expression" dxfId="17" priority="162" stopIfTrue="1">
      <formula>Z$8=$U$4</formula>
    </cfRule>
    <cfRule type="expression" dxfId="16" priority="163" stopIfTrue="1">
      <formula>AND(Z$8&gt;=$Q11,Z$8&lt;$Q11+$V11)</formula>
    </cfRule>
    <cfRule type="expression" dxfId="15" priority="164" stopIfTrue="1">
      <formula>AND(Z$8&gt;=$Q11,Z$8&lt;=$Q11+$S11-1)</formula>
    </cfRule>
  </conditionalFormatting>
  <conditionalFormatting sqref="O20:O24">
    <cfRule type="cellIs" dxfId="14" priority="113" operator="lessThanOrEqual">
      <formula>$Q$1</formula>
    </cfRule>
  </conditionalFormatting>
  <conditionalFormatting sqref="Y25">
    <cfRule type="expression" dxfId="13" priority="102" stopIfTrue="1">
      <formula>Y$8=$U$4</formula>
    </cfRule>
  </conditionalFormatting>
  <conditionalFormatting sqref="O25">
    <cfRule type="cellIs" dxfId="12" priority="98" operator="lessThanOrEqual">
      <formula>$Q$1</formula>
    </cfRule>
  </conditionalFormatting>
  <conditionalFormatting sqref="Y28">
    <cfRule type="expression" dxfId="11" priority="97" stopIfTrue="1">
      <formula>Y$8=$U$4</formula>
    </cfRule>
  </conditionalFormatting>
  <conditionalFormatting sqref="O28">
    <cfRule type="cellIs" dxfId="10" priority="93" operator="lessThanOrEqual">
      <formula>$Q$1</formula>
    </cfRule>
  </conditionalFormatting>
  <conditionalFormatting sqref="Y31:Y32">
    <cfRule type="expression" dxfId="9" priority="92" stopIfTrue="1">
      <formula>Y$8=$U$4</formula>
    </cfRule>
  </conditionalFormatting>
  <conditionalFormatting sqref="O31:O32">
    <cfRule type="cellIs" dxfId="8" priority="88" operator="lessThanOrEqual">
      <formula>$Q$1</formula>
    </cfRule>
  </conditionalFormatting>
  <conditionalFormatting sqref="Y35">
    <cfRule type="expression" dxfId="7" priority="87" stopIfTrue="1">
      <formula>Y$8=$U$4</formula>
    </cfRule>
  </conditionalFormatting>
  <conditionalFormatting sqref="O35">
    <cfRule type="cellIs" dxfId="6" priority="83" operator="lessThanOrEqual">
      <formula>$Q$1</formula>
    </cfRule>
  </conditionalFormatting>
  <conditionalFormatting sqref="O37">
    <cfRule type="cellIs" dxfId="5" priority="39" operator="lessThanOrEqual">
      <formula>$Q$1</formula>
    </cfRule>
  </conditionalFormatting>
  <conditionalFormatting sqref="O19">
    <cfRule type="cellIs" dxfId="4" priority="36" operator="lessThanOrEqual">
      <formula>$Q$1</formula>
    </cfRule>
  </conditionalFormatting>
  <conditionalFormatting sqref="P19">
    <cfRule type="iconSet" priority="38">
      <iconSet iconSet="5Rating" showValue="0">
        <cfvo type="percent" val="0"/>
        <cfvo type="num" val="1"/>
        <cfvo type="num" val="2"/>
        <cfvo type="num" val="3"/>
        <cfvo type="num" val="4"/>
      </iconSet>
    </cfRule>
  </conditionalFormatting>
  <conditionalFormatting sqref="Z24:CN24 JC24 CZ24:IZ24">
    <cfRule type="expression" dxfId="3" priority="1606" stopIfTrue="1">
      <formula>Z$8=$U$4</formula>
    </cfRule>
    <cfRule type="expression" dxfId="2" priority="1607" stopIfTrue="1">
      <formula>AND(Z$8&gt;=#REF!,Z$8&lt;#REF!+$V24)</formula>
    </cfRule>
    <cfRule type="expression" dxfId="1" priority="1608" stopIfTrue="1">
      <formula>AND(Z$8&gt;=#REF!,Z$8&lt;=#REF!+#REF!-1)</formula>
    </cfRule>
  </conditionalFormatting>
  <conditionalFormatting sqref="O33">
    <cfRule type="cellIs" dxfId="0" priority="28" operator="lessThanOrEqual">
      <formula>$Q$1</formula>
    </cfRule>
  </conditionalFormatting>
  <conditionalFormatting sqref="P32">
    <cfRule type="iconSet" priority="12">
      <iconSet iconSet="5Rating" showValue="0">
        <cfvo type="percent" val="0"/>
        <cfvo type="num" val="1"/>
        <cfvo type="num" val="2"/>
        <cfvo type="num" val="3"/>
        <cfvo type="num" val="4"/>
      </iconSet>
    </cfRule>
  </conditionalFormatting>
  <conditionalFormatting sqref="P36 P26:P27 P29:P30 P20:P24 P34">
    <cfRule type="iconSet" priority="2129">
      <iconSet iconSet="5Rating" showValue="0">
        <cfvo type="percent" val="0"/>
        <cfvo type="num" val="1"/>
        <cfvo type="num" val="2"/>
        <cfvo type="num" val="3"/>
        <cfvo type="num" val="4"/>
      </iconSet>
    </cfRule>
  </conditionalFormatting>
  <conditionalFormatting sqref="P16 P12:P14">
    <cfRule type="iconSet" priority="2134">
      <iconSet iconSet="5Rating" showValue="0">
        <cfvo type="percent" val="0"/>
        <cfvo type="num" val="1"/>
        <cfvo type="num" val="2"/>
        <cfvo type="num" val="3"/>
        <cfvo type="num" val="4"/>
      </iconSet>
    </cfRule>
  </conditionalFormatting>
  <pageMargins left="0.25" right="0.25" top="0.75" bottom="0.75" header="0.3" footer="0.3"/>
  <pageSetup paperSize="9" scale="13" fitToHeight="0" orientation="landscape" r:id="rId1"/>
  <ignoredErrors>
    <ignoredError sqref="A18 A12 A15:A17" unlockedFormula="1"/>
  </ignoredErrors>
  <drawing r:id="rId2"/>
  <legacyDrawing r:id="rId3"/>
  <controls>
    <mc:AlternateContent xmlns:mc="http://schemas.openxmlformats.org/markup-compatibility/2006">
      <mc:Choice Requires="x14">
        <control shapeId="1116" r:id="rId4" name="OptionButton1">
          <controlPr defaultSize="0" autoLine="0" r:id="rId5">
            <anchor moveWithCells="1">
              <from>
                <xdr:col>19</xdr:col>
                <xdr:colOff>63500</xdr:colOff>
                <xdr:row>1</xdr:row>
                <xdr:rowOff>63500</xdr:rowOff>
              </from>
              <to>
                <xdr:col>25</xdr:col>
                <xdr:colOff>0</xdr:colOff>
                <xdr:row>7</xdr:row>
                <xdr:rowOff>107950</xdr:rowOff>
              </to>
            </anchor>
          </controlPr>
        </control>
      </mc:Choice>
      <mc:Fallback>
        <control shapeId="1116" r:id="rId4" name="OptionButton1"/>
      </mc:Fallback>
    </mc:AlternateContent>
    <mc:AlternateContent xmlns:mc="http://schemas.openxmlformats.org/markup-compatibility/2006">
      <mc:Choice Requires="x14">
        <control shapeId="1114" r:id="rId6" name="ein">
          <controlPr defaultSize="0" autoLine="0" r:id="rId7">
            <anchor moveWithCells="1">
              <from>
                <xdr:col>19</xdr:col>
                <xdr:colOff>107950</xdr:colOff>
                <xdr:row>8</xdr:row>
                <xdr:rowOff>25400</xdr:rowOff>
              </from>
              <to>
                <xdr:col>19</xdr:col>
                <xdr:colOff>571500</xdr:colOff>
                <xdr:row>8</xdr:row>
                <xdr:rowOff>311150</xdr:rowOff>
              </to>
            </anchor>
          </controlPr>
        </control>
      </mc:Choice>
      <mc:Fallback>
        <control shapeId="1114" r:id="rId6" name="ein"/>
      </mc:Fallback>
    </mc:AlternateContent>
    <mc:AlternateContent xmlns:mc="http://schemas.openxmlformats.org/markup-compatibility/2006">
      <mc:Choice Requires="x14">
        <control shapeId="1123" r:id="rId8" name="CheckBox1">
          <controlPr defaultSize="0" autoLine="0" r:id="rId9">
            <anchor moveWithCells="1">
              <from>
                <xdr:col>5</xdr:col>
                <xdr:colOff>850900</xdr:colOff>
                <xdr:row>7</xdr:row>
                <xdr:rowOff>114300</xdr:rowOff>
              </from>
              <to>
                <xdr:col>16</xdr:col>
                <xdr:colOff>133350</xdr:colOff>
                <xdr:row>8</xdr:row>
                <xdr:rowOff>165100</xdr:rowOff>
              </to>
            </anchor>
          </controlPr>
        </control>
      </mc:Choice>
      <mc:Fallback>
        <control shapeId="1123" r:id="rId8" name="CheckBox1"/>
      </mc:Fallback>
    </mc:AlternateContent>
    <mc:AlternateContent xmlns:mc="http://schemas.openxmlformats.org/markup-compatibility/2006">
      <mc:Choice Requires="x14">
        <control shapeId="1025" r:id="rId10" name="Scroll Bar 1">
          <controlPr defaultSize="0" print="0" autoPict="0">
            <anchor moveWithCells="1">
              <from>
                <xdr:col>26</xdr:col>
                <xdr:colOff>279400</xdr:colOff>
                <xdr:row>0</xdr:row>
                <xdr:rowOff>133350</xdr:rowOff>
              </from>
              <to>
                <xdr:col>30</xdr:col>
                <xdr:colOff>57150</xdr:colOff>
                <xdr:row>1</xdr:row>
                <xdr:rowOff>146050</xdr:rowOff>
              </to>
            </anchor>
          </controlPr>
        </control>
      </mc:Choice>
    </mc:AlternateContent>
  </controls>
  <webPublishItems count="23">
    <webPublishItem id="16302" divId="Aufgabenmanagement v4_16302" sourceType="range" sourceRef="A1:E12" destinationFile="C:\Users\U135340\AppData\Local\Temp\03-05-2016_08-59-14.htm"/>
    <webPublishItem id="3722" divId="Aufgabenmanagement v4_3722" sourceType="range" sourceRef="A10:Y10" destinationFile="C:\Users\U135340\AppData\Local\Temp\03-05-2016_09-04-37.htm"/>
    <webPublishItem id="11462" divId="Aufgabenmanagement v4_11462" sourceType="range" sourceRef="A10:Y10" destinationFile="C:\Users\U135340\AppData\Local\Temp\03-05-2016_09-24-10.htm"/>
    <webPublishItem id="10954" divId="Aufgabenmanagement v4_10954" sourceType="range" sourceRef="A10:Y10" destinationFile="C:\Users\U135340\AppData\Local\Temp\03-05-2016_09-32-46.htm"/>
    <webPublishItem id="14935" divId="Aufgabenmanagement v4_14935" sourceType="range" sourceRef="A10:Y10" destinationFile="C:\Users\U135340\AppData\Local\Temp\03-05-2016_09-33-49.htm"/>
    <webPublishItem id="29780" divId="Aufgabenmanagement v4_29780" sourceType="range" sourceRef="A10:Y10" destinationFile="C:\Users\U135340\AppData\Local\Temp\03-05-2016_09-37-44.htm"/>
    <webPublishItem id="28945" divId="Aufgabenmanagement v4_28945" sourceType="range" sourceRef="A10:Y12" destinationFile="C:\Users\U135340\AppData\Local\Temp\03-05-2016_09-28-49.htm"/>
    <webPublishItem id="2432" divId="Aufgabenmanagement v4_2432" sourceType="range" sourceRef="A10:Y12" destinationFile="C:\Users\U135340\AppData\Local\Temp\03-05-2016_09-30-29.htm"/>
    <webPublishItem id="22111" divId="Aufgabenmanagement v4_22111" sourceType="range" sourceRef="A10:Y12" destinationFile="C:\Users\U135340\AppData\Local\Temp\03-05-2016_10-01-57.htm"/>
    <webPublishItem id="27375" divId="Aufgabenmanagement v4_27375" sourceType="range" sourceRef="A10:Y12" destinationFile="C:\Users\U135340\AppData\Local\Temp\03-05-2016_10-03-21.htm"/>
    <webPublishItem id="3680" divId="Aufgabenmanagement v4_3680" sourceType="range" sourceRef="A10:Y12" destinationFile="C:\Users\U135340\AppData\Local\Temp\03-05-2016_10-05-47.htm"/>
    <webPublishItem id="4074" divId="Aufgabenmanagement v4_4074" sourceType="range" sourceRef="A10:Y12" destinationFile="C:\Users\U135340\AppData\Local\Temp\03-05-2016_10-05-53.htm"/>
    <webPublishItem id="9730" divId="Aufgabenmanagement v4_9730" sourceType="range" sourceRef="A10:Y17" destinationFile="C:\Users\U135340\AppData\Local\Temp\03-05-2016_09-41-10.htm"/>
    <webPublishItem id="17832" divId="Aufgabenmanagement v4_17832" sourceType="range" sourceRef="A10:Y17" destinationFile="C:\Users\U135340\AppData\Local\Temp\03-05-2016_09-43-20.htm"/>
    <webPublishItem id="28934" divId="Aufgabenmanagement v4_28934" sourceType="range" sourceRef="A10:Y17" destinationFile="C:\Users\U135340\AppData\Local\Temp\03-05-2016_10-03-46.htm"/>
    <webPublishItem id="30728" divId="Aufgabenmanagement v4_30728" sourceType="range" sourceRef="A10:Y17" destinationFile="C:\Users\U135340\AppData\Local\Temp\03-05-2016_10-04-15.htm"/>
    <webPublishItem id="1169" divId="Aufgabenmanagement v4_1169" sourceType="range" sourceRef="A10:Y17" destinationFile="C:\Users\U135340\AppData\Local\Temp\03-05-2016_10-05-06.htm"/>
    <webPublishItem id="2003" divId="Aufgabenmanagement v4_2003" sourceType="range" sourceRef="A10:Y17" destinationFile="C:\Users\U135340\AppData\Local\Temp\03-05-2016_10-05-20.htm"/>
    <webPublishItem id="4736" divId="Aufgabenmanagement v4_4736" sourceType="range" sourceRef="A10:Y17" destinationFile="C:\Users\U135340\AppData\Local\Temp\03-05-2016_10-06-03.htm"/>
    <webPublishItem id="5176" divId="Aufgabenmanagement v4_5176" sourceType="range" sourceRef="A10:Y17" destinationFile="C:\Users\U135340\AppData\Local\Temp\03-05-2016_10-06-10.htm"/>
    <webPublishItem id="7055" divId="Aufgabenmanagement v4_7055" sourceType="range" sourceRef="A10:Y17" destinationFile="C:\Users\U135340\AppData\Local\Temp\03-05-2016_10-06-41.htm"/>
    <webPublishItem id="11841" divId="Aufgabenmanagement v4_11841" sourceType="range" sourceRef="A10:Y17" destinationFile="C:\Users\U135340\AppData\Local\Temp\03-05-2016_10-07-57.htm"/>
    <webPublishItem id="4120" divId="Aufgabenmanagement v4_4120" sourceType="range" sourceRef="A10:Y17" destinationFile="C:\Users\U135340\AppData\Local\Temp\03-05-2016_09-30-56.htm"/>
  </webPublishItems>
  <tableParts count="4">
    <tablePart r:id="rId11"/>
    <tablePart r:id="rId12"/>
    <tablePart r:id="rId13"/>
    <tablePart r:id="rId1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Colleagues!$F$2:$F$4</xm:f>
          </x14:formula1>
          <xm:sqref>D37:D1048576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7"/>
  <dimension ref="A1:L24"/>
  <sheetViews>
    <sheetView workbookViewId="0">
      <selection activeCell="E10" sqref="E10"/>
    </sheetView>
  </sheetViews>
  <sheetFormatPr defaultColWidth="11.453125" defaultRowHeight="14.5" x14ac:dyDescent="0.35"/>
  <cols>
    <col min="3" max="3" width="30.1796875" bestFit="1" customWidth="1"/>
  </cols>
  <sheetData>
    <row r="1" spans="1:12" x14ac:dyDescent="0.35">
      <c r="A1" s="33" t="s">
        <v>19</v>
      </c>
      <c r="C1" s="33" t="s">
        <v>22</v>
      </c>
      <c r="F1" t="s">
        <v>24</v>
      </c>
    </row>
    <row r="2" spans="1:12" x14ac:dyDescent="0.35">
      <c r="A2" s="33"/>
      <c r="C2" t="s">
        <v>87</v>
      </c>
      <c r="F2" t="s">
        <v>30</v>
      </c>
    </row>
    <row r="3" spans="1:12" x14ac:dyDescent="0.35">
      <c r="A3" s="33"/>
      <c r="C3" t="s">
        <v>88</v>
      </c>
      <c r="F3" t="s">
        <v>29</v>
      </c>
    </row>
    <row r="4" spans="1:12" x14ac:dyDescent="0.35">
      <c r="A4" s="33"/>
      <c r="C4" t="s">
        <v>89</v>
      </c>
      <c r="F4" t="s">
        <v>31</v>
      </c>
      <c r="L4" s="24"/>
    </row>
    <row r="5" spans="1:12" x14ac:dyDescent="0.35">
      <c r="A5" s="33"/>
      <c r="C5" t="s">
        <v>40</v>
      </c>
    </row>
    <row r="6" spans="1:12" x14ac:dyDescent="0.35">
      <c r="A6" s="33"/>
      <c r="C6" t="s">
        <v>90</v>
      </c>
    </row>
    <row r="7" spans="1:12" x14ac:dyDescent="0.35">
      <c r="A7" s="33"/>
      <c r="C7" t="s">
        <v>91</v>
      </c>
    </row>
    <row r="8" spans="1:12" x14ac:dyDescent="0.35">
      <c r="C8" s="33" t="s">
        <v>92</v>
      </c>
    </row>
    <row r="12" spans="1:12" x14ac:dyDescent="0.35">
      <c r="C12" s="33"/>
    </row>
    <row r="18" spans="3:3" x14ac:dyDescent="0.35">
      <c r="C18" s="33"/>
    </row>
    <row r="21" spans="3:3" x14ac:dyDescent="0.35">
      <c r="C21" s="33"/>
    </row>
    <row r="24" spans="3:3" x14ac:dyDescent="0.35">
      <c r="C24" s="33"/>
    </row>
  </sheetData>
  <sortState xmlns:xlrd2="http://schemas.microsoft.com/office/spreadsheetml/2017/richdata2" ref="C2:C23">
    <sortCondition ref="C2:C1000"/>
  </sortState>
  <pageMargins left="0.7" right="0.7" top="0.78740157499999996" bottom="0.78740157499999996" header="0.3" footer="0.3"/>
  <tableParts count="3">
    <tablePart r:id="rId1"/>
    <tablePart r:id="rId2"/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D1AC44D-374F-4B5A-AA00-E822F5EA796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Reporting</vt:lpstr>
      <vt:lpstr>Colleagues</vt:lpstr>
      <vt:lpstr>alpha_round_robin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Jesko Rehberg</dc:creator>
  <cp:lastModifiedBy>Jesko Rehberg</cp:lastModifiedBy>
  <cp:lastPrinted>2017-06-20T07:59:15Z</cp:lastPrinted>
  <dcterms:created xsi:type="dcterms:W3CDTF">2011-03-08T19:39:11Z</dcterms:created>
  <dcterms:modified xsi:type="dcterms:W3CDTF">2022-10-20T13:37:53Z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NXPowerLiteLastOptimized">
    <vt:lpwstr>807148</vt:lpwstr>
  </property>
  <property fmtid="{D5CDD505-2E9C-101B-9397-08002B2CF9AE}" pid="3" name="NXPowerLiteSettings">
    <vt:lpwstr>C74006B004C800</vt:lpwstr>
  </property>
  <property fmtid="{D5CDD505-2E9C-101B-9397-08002B2CF9AE}" pid="4" name="NXPowerLiteVersion">
    <vt:lpwstr>S6.2.15</vt:lpwstr>
  </property>
</Properties>
</file>